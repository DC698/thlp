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deird\Downloads\"/>
    </mc:Choice>
  </mc:AlternateContent>
  <xr:revisionPtr revIDLastSave="0" documentId="13_ncr:1_{748F894F-6610-479F-B714-5937C7012681}" xr6:coauthVersionLast="47" xr6:coauthVersionMax="47" xr10:uidLastSave="{00000000-0000-0000-0000-000000000000}"/>
  <bookViews>
    <workbookView xWindow="28680" yWindow="-120" windowWidth="38640" windowHeight="15720" tabRatio="500" xr2:uid="{00000000-000D-0000-FFFF-FFFF00000000}"/>
  </bookViews>
  <sheets>
    <sheet name="Petty Cash Log" sheetId="1" r:id="rId1"/>
    <sheet name="Replenishment Request" sheetId="2" r:id="rId2"/>
    <sheet name="Instructions" sheetId="3" r:id="rId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34" i="2" l="1"/>
  <c r="I32" i="2"/>
  <c r="I37" i="2" s="1"/>
  <c r="D5" i="2"/>
  <c r="H68" i="1"/>
  <c r="H67" i="1"/>
  <c r="H66" i="1"/>
  <c r="H64" i="1"/>
  <c r="H63"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1" i="1"/>
  <c r="K12" i="1" s="1"/>
  <c r="K13" i="1" s="1"/>
  <c r="K14" i="1" s="1"/>
  <c r="K15" i="1" s="1"/>
  <c r="K16" i="1" s="1"/>
  <c r="K17" i="1" s="1"/>
  <c r="K18" i="1" s="1"/>
  <c r="C7" i="1"/>
  <c r="H65" i="1" l="1"/>
  <c r="I35" i="2"/>
  <c r="I36" i="2" s="1"/>
  <c r="I38" i="2" s="1"/>
</calcChain>
</file>

<file path=xl/sharedStrings.xml><?xml version="1.0" encoding="utf-8"?>
<sst xmlns="http://schemas.openxmlformats.org/spreadsheetml/2006/main" count="182" uniqueCount="137">
  <si>
    <t>THE HOUSTON LAUNCH PAD — PETTY CASH TRANSACTION LOG</t>
  </si>
  <si>
    <t>HVRP Grant No. 23560HV000039  |  DOL-VETS  |  2 CFR Part 200</t>
  </si>
  <si>
    <t>Grant Period:</t>
  </si>
  <si>
    <t>Custodian:</t>
  </si>
  <si>
    <t>Fiscal Year:</t>
  </si>
  <si>
    <t>Department:</t>
  </si>
  <si>
    <t>HVRP Program</t>
  </si>
  <si>
    <t>Replenish At:</t>
  </si>
  <si>
    <t>Prepared By:</t>
  </si>
  <si>
    <t>Deirdre Gilbert</t>
  </si>
  <si>
    <t>Grant Admin:</t>
  </si>
  <si>
    <t>Wave GL Acct:</t>
  </si>
  <si>
    <t>Date Printed:</t>
  </si>
  <si>
    <t>#</t>
  </si>
  <si>
    <t>Date</t>
  </si>
  <si>
    <t>Receipt No.</t>
  </si>
  <si>
    <t>Payee / Vendor</t>
  </si>
  <si>
    <t>Purpose / Description</t>
  </si>
  <si>
    <t>Budget Category</t>
  </si>
  <si>
    <t>Receipt
Attached?</t>
  </si>
  <si>
    <t>Approved By</t>
  </si>
  <si>
    <t>Disbursed ($)</t>
  </si>
  <si>
    <t>Received ($)</t>
  </si>
  <si>
    <t>Balance ($)</t>
  </si>
  <si>
    <t>PERIOD SUMMARY</t>
  </si>
  <si>
    <t>Total Disbursements:</t>
  </si>
  <si>
    <t>Total Receipts (Replenishments):</t>
  </si>
  <si>
    <t>Current Balance:</t>
  </si>
  <si>
    <t>Receipts Attached (Yes):</t>
  </si>
  <si>
    <t>Receipts Missing (No):</t>
  </si>
  <si>
    <t>Reconciliation Status:</t>
  </si>
  <si>
    <t>CERTIFICATION &amp; SIGNATURES</t>
  </si>
  <si>
    <t>Petty Cash Custodian:</t>
  </si>
  <si>
    <t>Signature: ________________________   Date: __________</t>
  </si>
  <si>
    <t>Grant Administrator:</t>
  </si>
  <si>
    <t>Executive Director:</t>
  </si>
  <si>
    <t>This log must be retained for 3 years from submission of the final SF-425 expenditure report per 2 CFR §200.333. All disbursements require receipt attachment. Missing receipts must be resolved prior to replenishment request submission. Wave Accounting GL entries must match this log.</t>
  </si>
  <si>
    <t>THE HOUSTON LAUNCH PAD — PETTY CASH REPLENISHMENT REQUEST</t>
  </si>
  <si>
    <t>Request Date:</t>
  </si>
  <si>
    <t>Request No.:</t>
  </si>
  <si>
    <t>Custodian Name:</t>
  </si>
  <si>
    <t>Fund Limit ($):</t>
  </si>
  <si>
    <t>Wave GL Account:</t>
  </si>
  <si>
    <t>Period Covered (From):</t>
  </si>
  <si>
    <t>Period Covered (To):</t>
  </si>
  <si>
    <t>Amount ($)</t>
  </si>
  <si>
    <t>TOTAL REPLENISHMENT REQUESTED</t>
  </si>
  <si>
    <t>Authorized Fund Limit:</t>
  </si>
  <si>
    <t>Total Disbursed (This Period):</t>
  </si>
  <si>
    <t>Remaining Cash on Hand:</t>
  </si>
  <si>
    <t>Amount Requested (Check/Transfer):</t>
  </si>
  <si>
    <t>Balance After Replenishment:</t>
  </si>
  <si>
    <t>PRE-SUBMISSION CHECKLIST  (Custodian must verify all items before submitting)</t>
  </si>
  <si>
    <t>☐  All receipts are attached and match amounts listed above</t>
  </si>
  <si>
    <t>☐  All Budget Category fields are completed with correct grant cost category</t>
  </si>
  <si>
    <t>☐  No individual transaction exceeds the single-purchase limit per petty cash policy</t>
  </si>
  <si>
    <t>☐  Petty Cash Log has been updated to reflect all transactions included in this request</t>
  </si>
  <si>
    <t>☐  Wave Accounting GL entries have been posted for all disbursements listed</t>
  </si>
  <si>
    <t>☐  Receipts marked 'No' have been resolved or a Substitute Documentation Memo is attached</t>
  </si>
  <si>
    <t>☐  Replenishment amount does not cause the fund to exceed the authorized fund limit</t>
  </si>
  <si>
    <t>APPROVALS</t>
  </si>
  <si>
    <t>Petty Cash Custodian</t>
  </si>
  <si>
    <t>Certifies accuracy of all entries and attached receipts</t>
  </si>
  <si>
    <t>Signature: _______________________   Date: __________</t>
  </si>
  <si>
    <t>Grant Administrator</t>
  </si>
  <si>
    <t>Verifies allowability under HVRP grant scope and 2 CFR §200</t>
  </si>
  <si>
    <t>Executive Director</t>
  </si>
  <si>
    <t>Authorizes replenishment disbursement</t>
  </si>
  <si>
    <t>Submit completed form with all receipts attached to the Grant Administrator. Retain one copy with the Petty Cash Log. Replenishment check/transfer will be issued within 5 business days of approved submission. Records retained per 2 CFR §200.333 (3 years from final SF-425 submission). All expenditures must be allowable, allocable, and reasonable under 2 CFR Part 200.</t>
  </si>
  <si>
    <t>PETTY CASH FORMS — INSTRUCTIONS &amp; COMPLIANCE GUIDE</t>
  </si>
  <si>
    <t>The Houston Launch Pad  |  HVRP Grant No. 23560HV000039  |  2 CFR Part 200</t>
  </si>
  <si>
    <t>PETTY CASH LOG — HOW TO USE</t>
  </si>
  <si>
    <t>Starting the Log</t>
  </si>
  <si>
    <t>Enter the Fund Limit in cell I4 of the info block. This seeds the opening balance for the first transaction row. Enter the Grant Period, Fiscal Year, and Custodian name in the yellow cells.</t>
  </si>
  <si>
    <t>Recording Disbursements</t>
  </si>
  <si>
    <t>For each disbursement: enter the Date, a unique Receipt Number, the Payee/Vendor name, a clear Purpose description, the Budget Category (use the dropdown — must match HVRP grant budget line), select Yes/No for Receipt Attached, the Approver name, and the Amount in the Disbursed ($) column. The Balance column calculates automatically.</t>
  </si>
  <si>
    <t>Recording Replenishments</t>
  </si>
  <si>
    <t>When a replenishment check is received, enter the amount in the Received ($) column on the row where it is deposited. The balance will update automatically.</t>
  </si>
  <si>
    <t>Assign a sequential receipt number to each transaction (e.g., PC-2026-001). Write this number on the physical receipt and attach it to this log or file it in order.</t>
  </si>
  <si>
    <t>Select from the dropdown. Categories must align with the HVRP grant budget as approved in the modified Notice of Award (NOA). Do not use 'Petty Cash - General' for items that clearly belong to a specific budget line.</t>
  </si>
  <si>
    <t>Wave Accounting</t>
  </si>
  <si>
    <t>After recording each disbursement, post a corresponding entry in Wave Accounting. The petty cash log and Wave GL must match at all times.</t>
  </si>
  <si>
    <t>Period-End Reconciliation</t>
  </si>
  <si>
    <t>At the end of each month or before submitting a replenishment request: verify that all receipts are attached, that the log balance matches the physical cash on hand plus unsubmitted receipts, and that Wave GL entries match. The Reconciliation Status cell will show 'RECONCILED' when no receipts are marked No.</t>
  </si>
  <si>
    <t>Record Retention</t>
  </si>
  <si>
    <t>Retain this log and all attached receipts for a minimum of 3 years from the date of submission of the final SF-425 federal financial report, per 2 CFR §200.333.</t>
  </si>
  <si>
    <t>REPLENISHMENT REQUEST — HOW TO USE</t>
  </si>
  <si>
    <t>When to Submit</t>
  </si>
  <si>
    <t>Submit a replenishment request when the petty cash fund balance falls to or below the Replenish At threshold set in the Petty Cash Log info block. Do not wait until the fund is exhausted.</t>
  </si>
  <si>
    <t>Completing the Form</t>
  </si>
  <si>
    <t>Enter the Request Date (auto-fills today), Request No. (sequential, e.g., REP-2026-001), Grant Period, Fiscal Year, Custodian Name, Fund Limit, Wave GL Account, and Period Covered dates.</t>
  </si>
  <si>
    <t>Expenditure Detail</t>
  </si>
  <si>
    <t>List each disbursement from the period in the detail table. These should match line-by-line with the Petty Cash Log entries for the same period. Attach all physical receipts in the same order.</t>
  </si>
  <si>
    <t>Checklist</t>
  </si>
  <si>
    <t>Complete all checklist items before submitting. Do not submit with any unchecked items unless a written explanation is attached.</t>
  </si>
  <si>
    <t>Fund Reconciliation Block</t>
  </si>
  <si>
    <t>The reconciliation block auto-calculates based on your entries. Verify that 'Balance After Replenishment' equals the authorized Fund Limit before submitting.</t>
  </si>
  <si>
    <t>Approval Routing</t>
  </si>
  <si>
    <t>Obtain signatures from: (1) Petty Cash Custodian, (2) Grant Administrator (Deirdre Gilbert), (3) Executive Director. All three signatures required before replenishment is processed.</t>
  </si>
  <si>
    <t>Submission</t>
  </si>
  <si>
    <t>Submit completed and signed form with all receipts to the Grant Administrator. Retain a copy with the Petty Cash Log. Replenishment will be issued within 5 business days.</t>
  </si>
  <si>
    <t>COMPLIANCE NOTES</t>
  </si>
  <si>
    <t>Allowability (2 CFR §200.403)</t>
  </si>
  <si>
    <t>Petty cash expenditures charged to HVRP must be allowable — they must serve a legitimate HVRP program purpose. Personal expenses, alcohol, gifts, and entertainment are not allowable.</t>
  </si>
  <si>
    <t>Allocability (2 CFR §200.405)</t>
  </si>
  <si>
    <t>Costs must benefit the HVRP program specifically. Do not use HVRP petty cash for VSTAGP or general organizational expenses.</t>
  </si>
  <si>
    <t>Reasonableness (2 CFR §200.404)</t>
  </si>
  <si>
    <t>Amounts must be reasonable — consistent with market rates for goods and services in the Houston area.</t>
  </si>
  <si>
    <t>Documentation (2 CFR §200.403(g))</t>
  </si>
  <si>
    <t>Every disbursement requires a receipt. If a receipt is lost, prepare a Substitute Documentation Memo signed by the custodian and Grant Administrator before the next replenishment request.</t>
  </si>
  <si>
    <t>Cash Management (2 CFR §200.305)</t>
  </si>
  <si>
    <t>The petty cash fund is a standing imprest fund. Replenishments are initiated only as needed and must be reconciled to actual expenditures. Federal funds are not drawn in advance.</t>
  </si>
  <si>
    <t>Internal Controls (2 CFR §200.303)</t>
  </si>
  <si>
    <t>The custodian and approver must be different individuals. The Grant Administrator's review of each replenishment request is a required internal control step.</t>
  </si>
  <si>
    <t>KPMG Audit Readiness</t>
  </si>
  <si>
    <t>This log and all replenishment requests with attached receipts constitute the primary petty cash audit trail. Organize by period and retain with Wave GL export. KPMG will cross-reference Wave entries to this log.</t>
  </si>
  <si>
    <t>07/01/2025-06/30-2026</t>
  </si>
  <si>
    <t>2025-2026</t>
  </si>
  <si>
    <t>Nothing Bundt Cake</t>
  </si>
  <si>
    <t>Reimbursement</t>
  </si>
  <si>
    <t>Petty Cash - General</t>
  </si>
  <si>
    <t>Yes</t>
  </si>
  <si>
    <t>CVS</t>
  </si>
  <si>
    <t>Fiesta</t>
  </si>
  <si>
    <t>Job Fair</t>
  </si>
  <si>
    <t>Target</t>
  </si>
  <si>
    <t>00711D</t>
  </si>
  <si>
    <t>HCC Parking</t>
  </si>
  <si>
    <t>00986D</t>
  </si>
  <si>
    <t>BB8F8</t>
  </si>
  <si>
    <t>Office Max</t>
  </si>
  <si>
    <t>Office Supply</t>
  </si>
  <si>
    <t>HEB</t>
  </si>
  <si>
    <t>7546-3</t>
  </si>
  <si>
    <t>Fund Limit: 623.00</t>
  </si>
  <si>
    <t>ROSS</t>
  </si>
  <si>
    <t>Work Clothes-Emergency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</si>
</sst>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quot;($&quot;#,##0.00\);\-"/>
  </numFmts>
  <fonts count="18" x14ac:knownFonts="1">
    <font>
      <sz val="11"/>
      <color theme="1"/>
      <name val="Calibri"/>
      <family val="2"/>
      <charset val="1"/>
    </font>
    <font>
      <b/>
      <sz val="15"/>
      <color rgb="FFFFFFFF"/>
      <name val="Arial"/>
      <charset val="1"/>
    </font>
    <font>
      <sz val="10"/>
      <color rgb="FFFFFFFF"/>
      <name val="Arial"/>
      <charset val="1"/>
    </font>
    <font>
      <sz val="10"/>
      <color rgb="FF404040"/>
      <name val="Arial"/>
      <charset val="1"/>
    </font>
    <font>
      <sz val="10"/>
      <color rgb="FF7F4F00"/>
      <name val="Arial"/>
      <charset val="1"/>
    </font>
    <font>
      <b/>
      <sz val="10"/>
      <color rgb="FFFFFFFF"/>
      <name val="Arial"/>
      <charset val="1"/>
    </font>
    <font>
      <b/>
      <sz val="10"/>
      <color rgb="FF1F3864"/>
      <name val="Arial"/>
      <charset val="1"/>
    </font>
    <font>
      <b/>
      <sz val="10"/>
      <color rgb="FF404040"/>
      <name val="Arial"/>
      <charset val="1"/>
    </font>
    <font>
      <b/>
      <sz val="10"/>
      <color rgb="FF375623"/>
      <name val="Arial"/>
      <charset val="1"/>
    </font>
    <font>
      <b/>
      <sz val="10"/>
      <color rgb="FFC00000"/>
      <name val="Arial"/>
      <charset val="1"/>
    </font>
    <font>
      <i/>
      <sz val="9"/>
      <color rgb="FF999999"/>
      <name val="Arial"/>
      <charset val="1"/>
    </font>
    <font>
      <i/>
      <sz val="8"/>
      <color rgb="FF666666"/>
      <name val="Arial"/>
      <charset val="1"/>
    </font>
    <font>
      <b/>
      <sz val="14"/>
      <color rgb="FFFFFFFF"/>
      <name val="Arial"/>
      <charset val="1"/>
    </font>
    <font>
      <b/>
      <sz val="9"/>
      <color rgb="FFFFFFFF"/>
      <name val="Arial"/>
      <charset val="1"/>
    </font>
    <font>
      <b/>
      <sz val="11"/>
      <color rgb="FF375623"/>
      <name val="Arial"/>
      <charset val="1"/>
    </font>
    <font>
      <i/>
      <sz val="9"/>
      <color rgb="FF666666"/>
      <name val="Arial"/>
      <charset val="1"/>
    </font>
    <font>
      <sz val="9"/>
      <color rgb="FFAAAAAA"/>
      <name val="Arial"/>
      <charset val="1"/>
    </font>
    <font>
      <b/>
      <sz val="11"/>
      <color rgb="FFFFFFFF"/>
      <name val="Arial"/>
      <charset val="1"/>
    </font>
  </fonts>
  <fills count="10">
    <fill>
      <patternFill patternType="none"/>
    </fill>
    <fill>
      <patternFill patternType="gray125"/>
    </fill>
    <fill>
      <patternFill patternType="solid">
        <fgColor rgb="FF1F3864"/>
        <bgColor rgb="FF2E4A7A"/>
      </patternFill>
    </fill>
    <fill>
      <patternFill patternType="solid">
        <fgColor rgb="FF2E4A7A"/>
        <bgColor rgb="FF1F3864"/>
      </patternFill>
    </fill>
    <fill>
      <patternFill patternType="solid">
        <fgColor rgb="FFFFF2CC"/>
        <bgColor rgb="FFFCE4D6"/>
      </patternFill>
    </fill>
    <fill>
      <patternFill patternType="solid">
        <fgColor rgb="FFBF9000"/>
        <bgColor rgb="FF808000"/>
      </patternFill>
    </fill>
    <fill>
      <patternFill patternType="solid">
        <fgColor rgb="FFD6E4F0"/>
        <bgColor rgb="FFE2EFDA"/>
      </patternFill>
    </fill>
    <fill>
      <patternFill patternType="solid">
        <fgColor rgb="FFE2EFDA"/>
        <bgColor rgb="FFD6E4F0"/>
      </patternFill>
    </fill>
    <fill>
      <patternFill patternType="solid">
        <fgColor rgb="FFFFFFFF"/>
        <bgColor rgb="FFFFF2CC"/>
      </patternFill>
    </fill>
    <fill>
      <patternFill patternType="solid">
        <fgColor rgb="FFFCE4D6"/>
        <bgColor rgb="FFFFF2CC"/>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medium">
        <color rgb="FF1F3864"/>
      </left>
      <right style="medium">
        <color rgb="FF1F3864"/>
      </right>
      <top style="medium">
        <color rgb="FF1F3864"/>
      </top>
      <bottom style="medium">
        <color rgb="FF1F3864"/>
      </bottom>
      <diagonal/>
    </border>
  </borders>
  <cellStyleXfs count="1">
    <xf numFmtId="0" fontId="0" fillId="0" borderId="0"/>
  </cellStyleXfs>
  <cellXfs count="49">
    <xf numFmtId="0" fontId="0" fillId="0" borderId="0" xfId="0"/>
    <xf numFmtId="0" fontId="8" fillId="8" borderId="2" xfId="0" applyFont="1" applyFill="1" applyBorder="1" applyAlignment="1">
      <alignment horizontal="right" vertical="center" wrapText="1"/>
    </xf>
    <xf numFmtId="0" fontId="8" fillId="8" borderId="2" xfId="0" applyFont="1" applyFill="1" applyBorder="1" applyAlignment="1">
      <alignment horizontal="left" vertical="center" wrapText="1"/>
    </xf>
    <xf numFmtId="0" fontId="9" fillId="9" borderId="2" xfId="0" applyFont="1" applyFill="1" applyBorder="1" applyAlignment="1">
      <alignment horizontal="right" vertical="center" wrapText="1"/>
    </xf>
    <xf numFmtId="0" fontId="9" fillId="9" borderId="2" xfId="0" applyFont="1" applyFill="1" applyBorder="1" applyAlignment="1">
      <alignment horizontal="left" vertical="center" wrapText="1"/>
    </xf>
    <xf numFmtId="0" fontId="7" fillId="8" borderId="2" xfId="0" applyFont="1" applyFill="1" applyBorder="1" applyAlignment="1">
      <alignment horizontal="right" vertical="center" wrapText="1"/>
    </xf>
    <xf numFmtId="0" fontId="7" fillId="8" borderId="2" xfId="0" applyFont="1" applyFill="1" applyBorder="1" applyAlignment="1">
      <alignment horizontal="left" vertical="center" wrapText="1"/>
    </xf>
    <xf numFmtId="164" fontId="8" fillId="7" borderId="2" xfId="0" applyNumberFormat="1" applyFont="1" applyFill="1" applyBorder="1" applyAlignment="1">
      <alignment horizontal="right" vertical="center" wrapText="1"/>
    </xf>
    <xf numFmtId="0" fontId="8" fillId="7" borderId="2" xfId="0" applyFont="1" applyFill="1" applyBorder="1" applyAlignment="1">
      <alignment horizontal="left" vertical="center" wrapText="1"/>
    </xf>
    <xf numFmtId="164" fontId="7" fillId="6" borderId="2" xfId="0" applyNumberFormat="1" applyFont="1" applyFill="1" applyBorder="1" applyAlignment="1">
      <alignment horizontal="right" vertical="center" wrapText="1"/>
    </xf>
    <xf numFmtId="0" fontId="7" fillId="6"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0" fillId="5" borderId="0" xfId="0" applyFill="1"/>
    <xf numFmtId="0" fontId="2" fillId="3" borderId="0" xfId="0" applyFont="1" applyFill="1" applyAlignment="1">
      <alignment horizontal="center" vertical="center" wrapText="1"/>
    </xf>
    <xf numFmtId="0" fontId="1" fillId="2" borderId="0" xfId="0" applyFont="1" applyFill="1" applyAlignment="1">
      <alignment horizontal="center" vertical="center" wrapText="1"/>
    </xf>
    <xf numFmtId="0" fontId="3" fillId="0" borderId="0" xfId="0" applyFont="1" applyAlignment="1">
      <alignment horizontal="left" vertical="center" wrapText="1"/>
    </xf>
    <xf numFmtId="0" fontId="4" fillId="4" borderId="0" xfId="0" applyFont="1" applyFill="1" applyAlignment="1">
      <alignment horizontal="left" vertical="center" wrapText="1"/>
    </xf>
    <xf numFmtId="0" fontId="5" fillId="2"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164" fontId="3" fillId="6" borderId="1" xfId="0" applyNumberFormat="1" applyFont="1" applyFill="1" applyBorder="1" applyAlignment="1">
      <alignment horizontal="center" vertical="center" wrapText="1"/>
    </xf>
    <xf numFmtId="164" fontId="3" fillId="7" borderId="1" xfId="0" applyNumberFormat="1" applyFont="1" applyFill="1" applyBorder="1" applyAlignment="1">
      <alignment horizontal="center" vertical="center" wrapText="1"/>
    </xf>
    <xf numFmtId="0" fontId="6"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164" fontId="3" fillId="8"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164" fontId="14" fillId="7" borderId="3" xfId="0" applyNumberFormat="1" applyFont="1" applyFill="1" applyBorder="1" applyAlignment="1">
      <alignment horizontal="right" vertical="center" wrapText="1"/>
    </xf>
    <xf numFmtId="164" fontId="6" fillId="6" borderId="1" xfId="0" applyNumberFormat="1" applyFont="1" applyFill="1" applyBorder="1" applyAlignment="1">
      <alignment horizontal="right" vertical="center" wrapText="1"/>
    </xf>
    <xf numFmtId="164" fontId="9" fillId="9" borderId="1" xfId="0" applyNumberFormat="1" applyFont="1" applyFill="1" applyBorder="1" applyAlignment="1">
      <alignment horizontal="right" vertical="center" wrapText="1"/>
    </xf>
    <xf numFmtId="164" fontId="8" fillId="7" borderId="1" xfId="0" applyNumberFormat="1" applyFont="1" applyFill="1" applyBorder="1" applyAlignment="1">
      <alignment horizontal="right" vertical="center" wrapText="1"/>
    </xf>
    <xf numFmtId="164" fontId="6" fillId="4" borderId="1" xfId="0" applyNumberFormat="1" applyFont="1" applyFill="1" applyBorder="1" applyAlignment="1">
      <alignment horizontal="right" vertical="center" wrapText="1"/>
    </xf>
    <xf numFmtId="0" fontId="6" fillId="6" borderId="1" xfId="0" applyFont="1" applyFill="1" applyBorder="1" applyAlignment="1">
      <alignment horizontal="left" vertical="center" wrapText="1"/>
    </xf>
    <xf numFmtId="0" fontId="5" fillId="2" borderId="0" xfId="0" applyFont="1" applyFill="1" applyAlignment="1">
      <alignment horizontal="center" vertical="center" wrapText="1"/>
    </xf>
    <xf numFmtId="0" fontId="6" fillId="6" borderId="2" xfId="0" applyFont="1" applyFill="1" applyBorder="1" applyAlignment="1">
      <alignment horizontal="left" vertical="center" wrapText="1"/>
    </xf>
    <xf numFmtId="0" fontId="10" fillId="8" borderId="2" xfId="0" applyFont="1" applyFill="1" applyBorder="1" applyAlignment="1">
      <alignment horizontal="left" vertical="center" wrapText="1"/>
    </xf>
    <xf numFmtId="0" fontId="11" fillId="0" borderId="0" xfId="0" applyFont="1" applyAlignment="1">
      <alignment horizontal="left" wrapText="1"/>
    </xf>
    <xf numFmtId="0" fontId="12" fillId="2" borderId="0" xfId="0" applyFont="1" applyFill="1" applyAlignment="1">
      <alignment horizontal="center" vertical="center" wrapText="1"/>
    </xf>
    <xf numFmtId="0" fontId="3" fillId="4" borderId="2" xfId="0" applyFont="1" applyFill="1" applyBorder="1" applyAlignment="1">
      <alignment horizontal="left" vertical="center" wrapText="1"/>
    </xf>
    <xf numFmtId="0" fontId="5" fillId="2" borderId="2" xfId="0" applyFont="1" applyFill="1" applyBorder="1" applyAlignment="1">
      <alignment horizontal="right" vertical="center" wrapText="1"/>
    </xf>
    <xf numFmtId="0" fontId="3" fillId="6" borderId="2" xfId="0" applyFont="1" applyFill="1" applyBorder="1" applyAlignment="1">
      <alignment horizontal="left" vertical="center" wrapText="1"/>
    </xf>
    <xf numFmtId="0" fontId="3" fillId="8" borderId="2" xfId="0" applyFont="1" applyFill="1" applyBorder="1" applyAlignment="1">
      <alignment horizontal="left" vertical="center" wrapText="1"/>
    </xf>
    <xf numFmtId="0" fontId="6" fillId="6" borderId="2" xfId="0" applyFont="1" applyFill="1" applyBorder="1" applyAlignment="1">
      <alignment horizontal="center" vertical="center" wrapText="1"/>
    </xf>
    <xf numFmtId="0" fontId="15" fillId="8" borderId="2" xfId="0" applyFont="1" applyFill="1" applyBorder="1" applyAlignment="1">
      <alignment horizontal="left" vertical="center" wrapText="1"/>
    </xf>
    <xf numFmtId="0" fontId="16" fillId="0" borderId="0" xfId="0" applyFont="1" applyAlignment="1">
      <alignment horizontal="left" vertical="center" wrapText="1"/>
    </xf>
    <xf numFmtId="0" fontId="17" fillId="2" borderId="0" xfId="0" applyFont="1" applyFill="1" applyAlignment="1">
      <alignment horizontal="center" vertical="center" wrapText="1"/>
    </xf>
    <xf numFmtId="14" fontId="3" fillId="6" borderId="1" xfId="0" applyNumberFormat="1" applyFont="1" applyFill="1" applyBorder="1" applyAlignment="1">
      <alignment horizontal="left" vertical="center" wrapText="1"/>
    </xf>
    <xf numFmtId="14" fontId="3" fillId="8"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AAAAAA"/>
      <rgbColor rgb="FF808080"/>
      <rgbColor rgb="FF9999FF"/>
      <rgbColor rgb="FF993366"/>
      <rgbColor rgb="FFFFF2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BF9000"/>
      <rgbColor rgb="FFFF6600"/>
      <rgbColor rgb="FF666666"/>
      <rgbColor rgb="FF999999"/>
      <rgbColor rgb="FF1F3864"/>
      <rgbColor rgb="FF339966"/>
      <rgbColor rgb="FF003300"/>
      <rgbColor rgb="FF375623"/>
      <rgbColor rgb="FF7F4F00"/>
      <rgbColor rgb="FF993366"/>
      <rgbColor rgb="FF2E4A7A"/>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K74"/>
  <sheetViews>
    <sheetView showGridLines="0" tabSelected="1" zoomScaleNormal="100" workbookViewId="0">
      <pane ySplit="9" topLeftCell="A10" activePane="bottomLeft" state="frozen"/>
      <selection pane="bottomLeft" activeCell="K19" sqref="K19"/>
    </sheetView>
  </sheetViews>
  <sheetFormatPr defaultColWidth="8.7109375" defaultRowHeight="15" x14ac:dyDescent="0.25"/>
  <cols>
    <col min="1" max="1" width="5" customWidth="1"/>
    <col min="2" max="2" width="13" customWidth="1"/>
    <col min="3" max="3" width="14" customWidth="1"/>
    <col min="4" max="4" width="22" customWidth="1"/>
    <col min="5" max="5" width="30" customWidth="1"/>
    <col min="6" max="6" width="20" customWidth="1"/>
    <col min="7" max="7" width="11" customWidth="1"/>
    <col min="8" max="8" width="18" customWidth="1"/>
    <col min="9" max="11" width="13" customWidth="1"/>
  </cols>
  <sheetData>
    <row r="1" spans="1:11" ht="9.75" customHeight="1" x14ac:dyDescent="0.25"/>
    <row r="2" spans="1:11" ht="36" customHeight="1" x14ac:dyDescent="0.25">
      <c r="A2" s="14" t="s">
        <v>0</v>
      </c>
      <c r="B2" s="14"/>
      <c r="C2" s="14"/>
      <c r="D2" s="14"/>
      <c r="E2" s="14"/>
      <c r="F2" s="14"/>
      <c r="G2" s="14"/>
      <c r="H2" s="14"/>
      <c r="I2" s="14"/>
      <c r="J2" s="14"/>
      <c r="K2" s="14"/>
    </row>
    <row r="3" spans="1:11" ht="18" customHeight="1" x14ac:dyDescent="0.25">
      <c r="A3" s="13" t="s">
        <v>1</v>
      </c>
      <c r="B3" s="13"/>
      <c r="C3" s="13"/>
      <c r="D3" s="13"/>
      <c r="E3" s="13"/>
      <c r="F3" s="13"/>
      <c r="G3" s="13"/>
      <c r="H3" s="13"/>
      <c r="I3" s="13"/>
      <c r="J3" s="13"/>
      <c r="K3" s="13"/>
    </row>
    <row r="4" spans="1:11" ht="18" customHeight="1" x14ac:dyDescent="0.25">
      <c r="B4" s="15" t="s">
        <v>2</v>
      </c>
      <c r="C4" s="15"/>
      <c r="D4" s="16" t="s">
        <v>116</v>
      </c>
      <c r="E4" s="15" t="s">
        <v>3</v>
      </c>
      <c r="F4" s="15"/>
      <c r="G4" s="16"/>
      <c r="H4" s="15" t="s">
        <v>134</v>
      </c>
      <c r="I4" s="15"/>
    </row>
    <row r="5" spans="1:11" ht="18" customHeight="1" x14ac:dyDescent="0.25">
      <c r="B5" s="15" t="s">
        <v>4</v>
      </c>
      <c r="C5" s="15"/>
      <c r="D5" s="16" t="s">
        <v>117</v>
      </c>
      <c r="E5" s="15" t="s">
        <v>5</v>
      </c>
      <c r="F5" s="15" t="s">
        <v>6</v>
      </c>
      <c r="G5" s="16"/>
      <c r="H5" s="15" t="s">
        <v>7</v>
      </c>
      <c r="I5" s="15"/>
    </row>
    <row r="6" spans="1:11" ht="18" customHeight="1" x14ac:dyDescent="0.25">
      <c r="B6" s="15" t="s">
        <v>8</v>
      </c>
      <c r="C6" s="15" t="s">
        <v>9</v>
      </c>
      <c r="D6" s="16"/>
      <c r="E6" s="15" t="s">
        <v>10</v>
      </c>
      <c r="F6" s="15" t="s">
        <v>9</v>
      </c>
      <c r="G6" s="16"/>
      <c r="H6" s="15" t="s">
        <v>11</v>
      </c>
      <c r="I6" s="15"/>
    </row>
    <row r="7" spans="1:11" ht="18" customHeight="1" x14ac:dyDescent="0.25">
      <c r="B7" s="15" t="s">
        <v>12</v>
      </c>
      <c r="C7" s="15" t="str">
        <f ca="1">TEXT(TODAY(),"MM/DD/YYYY")</f>
        <v>03/23/2026</v>
      </c>
    </row>
    <row r="8" spans="1:11" ht="9.75" customHeight="1" x14ac:dyDescent="0.25">
      <c r="A8" s="12"/>
      <c r="B8" s="12"/>
      <c r="C8" s="12"/>
      <c r="D8" s="12"/>
      <c r="E8" s="12"/>
      <c r="F8" s="12"/>
      <c r="G8" s="12"/>
      <c r="H8" s="12"/>
      <c r="I8" s="12"/>
      <c r="J8" s="12"/>
      <c r="K8" s="12"/>
    </row>
    <row r="9" spans="1:11" ht="30" customHeight="1" x14ac:dyDescent="0.25">
      <c r="A9" s="17" t="s">
        <v>13</v>
      </c>
      <c r="B9" s="17" t="s">
        <v>14</v>
      </c>
      <c r="C9" s="17" t="s">
        <v>15</v>
      </c>
      <c r="D9" s="17" t="s">
        <v>16</v>
      </c>
      <c r="E9" s="17" t="s">
        <v>17</v>
      </c>
      <c r="F9" s="17" t="s">
        <v>18</v>
      </c>
      <c r="G9" s="17" t="s">
        <v>19</v>
      </c>
      <c r="H9" s="17" t="s">
        <v>20</v>
      </c>
      <c r="I9" s="17" t="s">
        <v>21</v>
      </c>
      <c r="J9" s="17" t="s">
        <v>22</v>
      </c>
      <c r="K9" s="17" t="s">
        <v>23</v>
      </c>
    </row>
    <row r="10" spans="1:11" ht="18" customHeight="1" x14ac:dyDescent="0.25">
      <c r="A10" s="18">
        <v>1</v>
      </c>
      <c r="B10" s="47">
        <v>45873</v>
      </c>
      <c r="C10" s="19">
        <v>111302</v>
      </c>
      <c r="D10" s="19" t="s">
        <v>118</v>
      </c>
      <c r="E10" s="19" t="s">
        <v>119</v>
      </c>
      <c r="F10" s="19" t="s">
        <v>120</v>
      </c>
      <c r="G10" s="20" t="s">
        <v>121</v>
      </c>
      <c r="H10" s="19"/>
      <c r="I10" s="21">
        <v>84.66</v>
      </c>
      <c r="J10" s="21">
        <v>0</v>
      </c>
      <c r="K10" s="22">
        <v>538.34</v>
      </c>
    </row>
    <row r="11" spans="1:11" ht="18" customHeight="1" x14ac:dyDescent="0.25">
      <c r="A11" s="23">
        <v>2</v>
      </c>
      <c r="B11" s="48">
        <v>45873</v>
      </c>
      <c r="C11" s="24">
        <v>172698</v>
      </c>
      <c r="D11" s="24" t="s">
        <v>122</v>
      </c>
      <c r="E11" s="24" t="s">
        <v>119</v>
      </c>
      <c r="F11" s="24" t="s">
        <v>120</v>
      </c>
      <c r="G11" s="25" t="s">
        <v>121</v>
      </c>
      <c r="H11" s="24"/>
      <c r="I11" s="26">
        <v>29.25</v>
      </c>
      <c r="J11" s="26">
        <v>0</v>
      </c>
      <c r="K11" s="22">
        <f>IF(AND(I11="",J11=""),"",K10-I11+J11)</f>
        <v>509.09000000000003</v>
      </c>
    </row>
    <row r="12" spans="1:11" ht="18" customHeight="1" x14ac:dyDescent="0.25">
      <c r="A12" s="18">
        <v>3</v>
      </c>
      <c r="B12" s="47">
        <v>45889</v>
      </c>
      <c r="C12" s="19">
        <v>819191</v>
      </c>
      <c r="D12" s="19" t="s">
        <v>123</v>
      </c>
      <c r="E12" s="19" t="s">
        <v>124</v>
      </c>
      <c r="F12" s="19" t="s">
        <v>120</v>
      </c>
      <c r="G12" s="20" t="s">
        <v>121</v>
      </c>
      <c r="H12" s="19"/>
      <c r="I12" s="21">
        <v>8</v>
      </c>
      <c r="J12" s="21"/>
      <c r="K12" s="22">
        <f t="shared" ref="K12:K42" si="0">IF(AND(I12="",J12=""),"",K11-I12+J12)</f>
        <v>501.09000000000003</v>
      </c>
    </row>
    <row r="13" spans="1:11" ht="18" customHeight="1" x14ac:dyDescent="0.25">
      <c r="A13" s="23">
        <v>4</v>
      </c>
      <c r="B13" s="48">
        <v>45889</v>
      </c>
      <c r="C13" s="24"/>
      <c r="D13" s="24" t="s">
        <v>125</v>
      </c>
      <c r="E13" s="24" t="s">
        <v>124</v>
      </c>
      <c r="F13" s="24" t="s">
        <v>120</v>
      </c>
      <c r="G13" s="25" t="s">
        <v>121</v>
      </c>
      <c r="H13" s="24"/>
      <c r="I13" s="26">
        <v>26.81</v>
      </c>
      <c r="J13" s="26"/>
      <c r="K13" s="22">
        <f t="shared" si="0"/>
        <v>474.28000000000003</v>
      </c>
    </row>
    <row r="14" spans="1:11" ht="18" customHeight="1" x14ac:dyDescent="0.25">
      <c r="A14" s="18">
        <v>5</v>
      </c>
      <c r="B14" s="47">
        <v>45895</v>
      </c>
      <c r="C14" s="19" t="s">
        <v>126</v>
      </c>
      <c r="D14" s="19" t="s">
        <v>127</v>
      </c>
      <c r="E14" s="19" t="s">
        <v>124</v>
      </c>
      <c r="F14" s="19" t="s">
        <v>120</v>
      </c>
      <c r="G14" s="20" t="s">
        <v>121</v>
      </c>
      <c r="H14" s="19"/>
      <c r="I14" s="21">
        <v>6.15</v>
      </c>
      <c r="J14" s="21"/>
      <c r="K14" s="22">
        <f>IF(AND(I14="",J14=""),"",K13-I14+J14)</f>
        <v>468.13000000000005</v>
      </c>
    </row>
    <row r="15" spans="1:11" ht="18" customHeight="1" x14ac:dyDescent="0.25">
      <c r="A15" s="23">
        <v>6</v>
      </c>
      <c r="B15" s="48">
        <v>45897</v>
      </c>
      <c r="C15" s="24" t="s">
        <v>128</v>
      </c>
      <c r="D15" s="24" t="s">
        <v>127</v>
      </c>
      <c r="E15" s="24" t="s">
        <v>124</v>
      </c>
      <c r="F15" s="24" t="s">
        <v>120</v>
      </c>
      <c r="G15" s="25" t="s">
        <v>121</v>
      </c>
      <c r="H15" s="24"/>
      <c r="I15" s="26">
        <v>2.15</v>
      </c>
      <c r="J15" s="26"/>
      <c r="K15" s="22">
        <f t="shared" si="0"/>
        <v>465.98000000000008</v>
      </c>
    </row>
    <row r="16" spans="1:11" ht="18" customHeight="1" x14ac:dyDescent="0.25">
      <c r="A16" s="18">
        <v>7</v>
      </c>
      <c r="B16" s="47">
        <v>45845</v>
      </c>
      <c r="C16" s="19" t="s">
        <v>129</v>
      </c>
      <c r="D16" s="19" t="s">
        <v>130</v>
      </c>
      <c r="E16" s="19" t="s">
        <v>131</v>
      </c>
      <c r="F16" s="19" t="s">
        <v>120</v>
      </c>
      <c r="G16" s="20" t="s">
        <v>121</v>
      </c>
      <c r="H16" s="19"/>
      <c r="I16" s="21">
        <v>31.42</v>
      </c>
      <c r="J16" s="21"/>
      <c r="K16" s="22">
        <f t="shared" si="0"/>
        <v>434.56000000000006</v>
      </c>
    </row>
    <row r="17" spans="1:11" ht="18" customHeight="1" x14ac:dyDescent="0.25">
      <c r="A17" s="23">
        <v>8</v>
      </c>
      <c r="B17" s="48">
        <v>46056</v>
      </c>
      <c r="C17" s="24">
        <v>356900</v>
      </c>
      <c r="D17" s="24" t="s">
        <v>132</v>
      </c>
      <c r="E17" s="24" t="s">
        <v>124</v>
      </c>
      <c r="F17" s="24" t="s">
        <v>120</v>
      </c>
      <c r="G17" s="25" t="s">
        <v>121</v>
      </c>
      <c r="H17" s="24"/>
      <c r="I17" s="26">
        <v>191.52</v>
      </c>
      <c r="J17" s="26"/>
      <c r="K17" s="22">
        <f t="shared" si="0"/>
        <v>243.04000000000005</v>
      </c>
    </row>
    <row r="18" spans="1:11" ht="18" customHeight="1" x14ac:dyDescent="0.25">
      <c r="A18" s="18">
        <v>9</v>
      </c>
      <c r="B18" s="47">
        <v>46056</v>
      </c>
      <c r="C18" s="19" t="s">
        <v>133</v>
      </c>
      <c r="D18" s="19" t="s">
        <v>125</v>
      </c>
      <c r="E18" s="19" t="s">
        <v>124</v>
      </c>
      <c r="F18" s="19" t="s">
        <v>120</v>
      </c>
      <c r="G18" s="20" t="s">
        <v>121</v>
      </c>
      <c r="H18" s="19"/>
      <c r="I18" s="21">
        <v>44</v>
      </c>
      <c r="J18" s="21"/>
      <c r="K18" s="22">
        <f t="shared" si="0"/>
        <v>199.04000000000005</v>
      </c>
    </row>
    <row r="19" spans="1:11" ht="18" customHeight="1" x14ac:dyDescent="0.25">
      <c r="A19" s="23">
        <v>10</v>
      </c>
      <c r="B19" s="48">
        <v>46070</v>
      </c>
      <c r="C19" s="24">
        <v>9789</v>
      </c>
      <c r="D19" s="24" t="s">
        <v>135</v>
      </c>
      <c r="E19" s="24" t="s">
        <v>136</v>
      </c>
      <c r="F19" s="24" t="s">
        <v>120</v>
      </c>
      <c r="G19" s="25" t="s">
        <v>121</v>
      </c>
      <c r="H19" s="24"/>
      <c r="I19" s="26">
        <v>53.01</v>
      </c>
      <c r="J19" s="26"/>
      <c r="K19" s="22">
        <f t="shared" si="0"/>
        <v>146.03000000000006</v>
      </c>
    </row>
    <row r="20" spans="1:11" ht="18" customHeight="1" x14ac:dyDescent="0.25">
      <c r="A20" s="18">
        <v>11</v>
      </c>
      <c r="B20" s="19"/>
      <c r="C20" s="19"/>
      <c r="D20" s="19"/>
      <c r="E20" s="19"/>
      <c r="F20" s="19"/>
      <c r="G20" s="20"/>
      <c r="H20" s="19"/>
      <c r="I20" s="21"/>
      <c r="J20" s="21"/>
      <c r="K20" s="22" t="str">
        <f t="shared" si="0"/>
        <v/>
      </c>
    </row>
    <row r="21" spans="1:11" ht="18" customHeight="1" x14ac:dyDescent="0.25">
      <c r="A21" s="23">
        <v>12</v>
      </c>
      <c r="B21" s="24"/>
      <c r="C21" s="24"/>
      <c r="D21" s="24"/>
      <c r="E21" s="24"/>
      <c r="F21" s="24"/>
      <c r="G21" s="25"/>
      <c r="H21" s="24"/>
      <c r="I21" s="26"/>
      <c r="J21" s="26"/>
      <c r="K21" s="22" t="str">
        <f t="shared" si="0"/>
        <v/>
      </c>
    </row>
    <row r="22" spans="1:11" ht="18" customHeight="1" x14ac:dyDescent="0.25">
      <c r="A22" s="18">
        <v>13</v>
      </c>
      <c r="B22" s="19"/>
      <c r="C22" s="19"/>
      <c r="D22" s="19"/>
      <c r="E22" s="19"/>
      <c r="F22" s="19"/>
      <c r="G22" s="20"/>
      <c r="H22" s="19"/>
      <c r="I22" s="21"/>
      <c r="J22" s="21"/>
      <c r="K22" s="22" t="str">
        <f t="shared" si="0"/>
        <v/>
      </c>
    </row>
    <row r="23" spans="1:11" ht="18" customHeight="1" x14ac:dyDescent="0.25">
      <c r="A23" s="23">
        <v>14</v>
      </c>
      <c r="B23" s="24"/>
      <c r="C23" s="24"/>
      <c r="D23" s="24"/>
      <c r="E23" s="24"/>
      <c r="F23" s="24"/>
      <c r="G23" s="25"/>
      <c r="H23" s="24"/>
      <c r="I23" s="26"/>
      <c r="J23" s="26"/>
      <c r="K23" s="22" t="str">
        <f t="shared" si="0"/>
        <v/>
      </c>
    </row>
    <row r="24" spans="1:11" ht="18" customHeight="1" x14ac:dyDescent="0.25">
      <c r="A24" s="18">
        <v>15</v>
      </c>
      <c r="B24" s="19"/>
      <c r="C24" s="19"/>
      <c r="D24" s="19"/>
      <c r="E24" s="19"/>
      <c r="F24" s="19"/>
      <c r="G24" s="20"/>
      <c r="H24" s="19"/>
      <c r="I24" s="21"/>
      <c r="J24" s="21"/>
      <c r="K24" s="22" t="str">
        <f t="shared" si="0"/>
        <v/>
      </c>
    </row>
    <row r="25" spans="1:11" ht="18" customHeight="1" x14ac:dyDescent="0.25">
      <c r="A25" s="23">
        <v>16</v>
      </c>
      <c r="B25" s="24"/>
      <c r="C25" s="24"/>
      <c r="D25" s="24"/>
      <c r="E25" s="24"/>
      <c r="F25" s="24"/>
      <c r="G25" s="25"/>
      <c r="H25" s="24"/>
      <c r="I25" s="26"/>
      <c r="J25" s="26"/>
      <c r="K25" s="22" t="str">
        <f t="shared" si="0"/>
        <v/>
      </c>
    </row>
    <row r="26" spans="1:11" ht="18" customHeight="1" x14ac:dyDescent="0.25">
      <c r="A26" s="18">
        <v>17</v>
      </c>
      <c r="B26" s="19"/>
      <c r="C26" s="19"/>
      <c r="D26" s="19"/>
      <c r="E26" s="19"/>
      <c r="F26" s="19"/>
      <c r="G26" s="20"/>
      <c r="H26" s="19"/>
      <c r="I26" s="21"/>
      <c r="J26" s="21"/>
      <c r="K26" s="22" t="str">
        <f t="shared" si="0"/>
        <v/>
      </c>
    </row>
    <row r="27" spans="1:11" ht="18" customHeight="1" x14ac:dyDescent="0.25">
      <c r="A27" s="23">
        <v>18</v>
      </c>
      <c r="B27" s="24"/>
      <c r="C27" s="24"/>
      <c r="D27" s="24"/>
      <c r="E27" s="24"/>
      <c r="F27" s="24"/>
      <c r="G27" s="25"/>
      <c r="H27" s="24"/>
      <c r="I27" s="26"/>
      <c r="J27" s="26"/>
      <c r="K27" s="22" t="str">
        <f t="shared" si="0"/>
        <v/>
      </c>
    </row>
    <row r="28" spans="1:11" ht="18" customHeight="1" x14ac:dyDescent="0.25">
      <c r="A28" s="18">
        <v>19</v>
      </c>
      <c r="B28" s="19"/>
      <c r="C28" s="19"/>
      <c r="D28" s="19"/>
      <c r="E28" s="19"/>
      <c r="F28" s="19"/>
      <c r="G28" s="20"/>
      <c r="H28" s="19"/>
      <c r="I28" s="21"/>
      <c r="J28" s="21"/>
      <c r="K28" s="22" t="str">
        <f t="shared" si="0"/>
        <v/>
      </c>
    </row>
    <row r="29" spans="1:11" ht="18" customHeight="1" x14ac:dyDescent="0.25">
      <c r="A29" s="23">
        <v>20</v>
      </c>
      <c r="B29" s="24"/>
      <c r="C29" s="24"/>
      <c r="D29" s="24"/>
      <c r="E29" s="24"/>
      <c r="F29" s="24"/>
      <c r="G29" s="25"/>
      <c r="H29" s="24"/>
      <c r="I29" s="26"/>
      <c r="J29" s="26"/>
      <c r="K29" s="22" t="str">
        <f t="shared" si="0"/>
        <v/>
      </c>
    </row>
    <row r="30" spans="1:11" ht="18" customHeight="1" x14ac:dyDescent="0.25">
      <c r="A30" s="18">
        <v>21</v>
      </c>
      <c r="B30" s="19"/>
      <c r="C30" s="19"/>
      <c r="D30" s="19"/>
      <c r="E30" s="19"/>
      <c r="F30" s="19"/>
      <c r="G30" s="20"/>
      <c r="H30" s="19"/>
      <c r="I30" s="21"/>
      <c r="J30" s="21"/>
      <c r="K30" s="22" t="str">
        <f t="shared" si="0"/>
        <v/>
      </c>
    </row>
    <row r="31" spans="1:11" ht="18" customHeight="1" x14ac:dyDescent="0.25">
      <c r="A31" s="23">
        <v>22</v>
      </c>
      <c r="B31" s="24"/>
      <c r="C31" s="24"/>
      <c r="D31" s="24"/>
      <c r="E31" s="24"/>
      <c r="F31" s="24"/>
      <c r="G31" s="25"/>
      <c r="H31" s="24"/>
      <c r="I31" s="26"/>
      <c r="J31" s="26"/>
      <c r="K31" s="22" t="str">
        <f t="shared" si="0"/>
        <v/>
      </c>
    </row>
    <row r="32" spans="1:11" ht="18" customHeight="1" x14ac:dyDescent="0.25">
      <c r="A32" s="18">
        <v>23</v>
      </c>
      <c r="B32" s="19"/>
      <c r="C32" s="19"/>
      <c r="D32" s="19"/>
      <c r="E32" s="19"/>
      <c r="F32" s="19"/>
      <c r="G32" s="20"/>
      <c r="H32" s="19"/>
      <c r="I32" s="21"/>
      <c r="J32" s="21"/>
      <c r="K32" s="22" t="str">
        <f t="shared" si="0"/>
        <v/>
      </c>
    </row>
    <row r="33" spans="1:11" ht="18" customHeight="1" x14ac:dyDescent="0.25">
      <c r="A33" s="23">
        <v>24</v>
      </c>
      <c r="B33" s="24"/>
      <c r="C33" s="24"/>
      <c r="D33" s="24"/>
      <c r="E33" s="24"/>
      <c r="F33" s="24"/>
      <c r="G33" s="25"/>
      <c r="H33" s="24"/>
      <c r="I33" s="26"/>
      <c r="J33" s="26"/>
      <c r="K33" s="22" t="str">
        <f t="shared" si="0"/>
        <v/>
      </c>
    </row>
    <row r="34" spans="1:11" ht="18" customHeight="1" x14ac:dyDescent="0.25">
      <c r="A34" s="18">
        <v>25</v>
      </c>
      <c r="B34" s="19"/>
      <c r="C34" s="19"/>
      <c r="D34" s="19"/>
      <c r="E34" s="19"/>
      <c r="F34" s="19"/>
      <c r="G34" s="20"/>
      <c r="H34" s="19"/>
      <c r="I34" s="21"/>
      <c r="J34" s="21"/>
      <c r="K34" s="22" t="str">
        <f t="shared" si="0"/>
        <v/>
      </c>
    </row>
    <row r="35" spans="1:11" ht="18" customHeight="1" x14ac:dyDescent="0.25">
      <c r="A35" s="23">
        <v>26</v>
      </c>
      <c r="B35" s="24"/>
      <c r="C35" s="24"/>
      <c r="D35" s="24"/>
      <c r="E35" s="24"/>
      <c r="F35" s="24"/>
      <c r="G35" s="25"/>
      <c r="H35" s="24"/>
      <c r="I35" s="26"/>
      <c r="J35" s="26"/>
      <c r="K35" s="22" t="str">
        <f t="shared" si="0"/>
        <v/>
      </c>
    </row>
    <row r="36" spans="1:11" ht="18" customHeight="1" x14ac:dyDescent="0.25">
      <c r="A36" s="18">
        <v>27</v>
      </c>
      <c r="B36" s="19"/>
      <c r="C36" s="19"/>
      <c r="D36" s="19"/>
      <c r="E36" s="19"/>
      <c r="F36" s="19"/>
      <c r="G36" s="20"/>
      <c r="H36" s="19"/>
      <c r="I36" s="21"/>
      <c r="J36" s="21"/>
      <c r="K36" s="22" t="str">
        <f t="shared" si="0"/>
        <v/>
      </c>
    </row>
    <row r="37" spans="1:11" ht="18" customHeight="1" x14ac:dyDescent="0.25">
      <c r="A37" s="23">
        <v>28</v>
      </c>
      <c r="B37" s="24"/>
      <c r="C37" s="24"/>
      <c r="D37" s="24"/>
      <c r="E37" s="24"/>
      <c r="F37" s="24"/>
      <c r="G37" s="25"/>
      <c r="H37" s="24"/>
      <c r="I37" s="26"/>
      <c r="J37" s="26"/>
      <c r="K37" s="22" t="str">
        <f t="shared" si="0"/>
        <v/>
      </c>
    </row>
    <row r="38" spans="1:11" ht="18" customHeight="1" x14ac:dyDescent="0.25">
      <c r="A38" s="18">
        <v>29</v>
      </c>
      <c r="B38" s="19"/>
      <c r="C38" s="19"/>
      <c r="D38" s="19"/>
      <c r="E38" s="19"/>
      <c r="F38" s="19"/>
      <c r="G38" s="20"/>
      <c r="H38" s="19"/>
      <c r="I38" s="21"/>
      <c r="J38" s="21"/>
      <c r="K38" s="22" t="str">
        <f t="shared" si="0"/>
        <v/>
      </c>
    </row>
    <row r="39" spans="1:11" ht="18" customHeight="1" x14ac:dyDescent="0.25">
      <c r="A39" s="23">
        <v>30</v>
      </c>
      <c r="B39" s="24"/>
      <c r="C39" s="24"/>
      <c r="D39" s="24"/>
      <c r="E39" s="24"/>
      <c r="F39" s="24"/>
      <c r="G39" s="25"/>
      <c r="H39" s="24"/>
      <c r="I39" s="26"/>
      <c r="J39" s="26"/>
      <c r="K39" s="22" t="str">
        <f t="shared" si="0"/>
        <v/>
      </c>
    </row>
    <row r="40" spans="1:11" ht="18" customHeight="1" x14ac:dyDescent="0.25">
      <c r="A40" s="18">
        <v>31</v>
      </c>
      <c r="B40" s="19"/>
      <c r="C40" s="19"/>
      <c r="D40" s="19"/>
      <c r="E40" s="19"/>
      <c r="F40" s="19"/>
      <c r="G40" s="20"/>
      <c r="H40" s="19"/>
      <c r="I40" s="21"/>
      <c r="J40" s="21"/>
      <c r="K40" s="22" t="str">
        <f t="shared" si="0"/>
        <v/>
      </c>
    </row>
    <row r="41" spans="1:11" ht="18" customHeight="1" x14ac:dyDescent="0.25">
      <c r="A41" s="23">
        <v>32</v>
      </c>
      <c r="B41" s="24"/>
      <c r="C41" s="24"/>
      <c r="D41" s="24"/>
      <c r="E41" s="24"/>
      <c r="F41" s="24"/>
      <c r="G41" s="25"/>
      <c r="H41" s="24"/>
      <c r="I41" s="26"/>
      <c r="J41" s="26"/>
      <c r="K41" s="22" t="str">
        <f t="shared" si="0"/>
        <v/>
      </c>
    </row>
    <row r="42" spans="1:11" ht="18" customHeight="1" x14ac:dyDescent="0.25">
      <c r="A42" s="18">
        <v>33</v>
      </c>
      <c r="B42" s="19"/>
      <c r="C42" s="19"/>
      <c r="D42" s="19"/>
      <c r="E42" s="19"/>
      <c r="F42" s="19"/>
      <c r="G42" s="20"/>
      <c r="H42" s="19"/>
      <c r="I42" s="21"/>
      <c r="J42" s="21"/>
      <c r="K42" s="22" t="str">
        <f t="shared" si="0"/>
        <v/>
      </c>
    </row>
    <row r="43" spans="1:11" ht="18" customHeight="1" x14ac:dyDescent="0.25">
      <c r="A43" s="23">
        <v>34</v>
      </c>
      <c r="B43" s="24"/>
      <c r="C43" s="24"/>
      <c r="D43" s="24"/>
      <c r="E43" s="24"/>
      <c r="F43" s="24"/>
      <c r="G43" s="25"/>
      <c r="H43" s="24"/>
      <c r="I43" s="26"/>
      <c r="J43" s="26"/>
      <c r="K43" s="22" t="str">
        <f t="shared" ref="K43:K74" si="1">IF(AND(I43="",J43=""),"",K42-I43+J43)</f>
        <v/>
      </c>
    </row>
    <row r="44" spans="1:11" ht="18" customHeight="1" x14ac:dyDescent="0.25">
      <c r="A44" s="18">
        <v>35</v>
      </c>
      <c r="B44" s="19"/>
      <c r="C44" s="19"/>
      <c r="D44" s="19"/>
      <c r="E44" s="19"/>
      <c r="F44" s="19"/>
      <c r="G44" s="20"/>
      <c r="H44" s="19"/>
      <c r="I44" s="21"/>
      <c r="J44" s="21"/>
      <c r="K44" s="22" t="str">
        <f t="shared" si="1"/>
        <v/>
      </c>
    </row>
    <row r="45" spans="1:11" ht="18" customHeight="1" x14ac:dyDescent="0.25">
      <c r="A45" s="23">
        <v>36</v>
      </c>
      <c r="B45" s="24"/>
      <c r="C45" s="24"/>
      <c r="D45" s="24"/>
      <c r="E45" s="24"/>
      <c r="F45" s="24"/>
      <c r="G45" s="25"/>
      <c r="H45" s="24"/>
      <c r="I45" s="26"/>
      <c r="J45" s="26"/>
      <c r="K45" s="22" t="str">
        <f t="shared" si="1"/>
        <v/>
      </c>
    </row>
    <row r="46" spans="1:11" ht="18" customHeight="1" x14ac:dyDescent="0.25">
      <c r="A46" s="18">
        <v>37</v>
      </c>
      <c r="B46" s="19"/>
      <c r="C46" s="19"/>
      <c r="D46" s="19"/>
      <c r="E46" s="19"/>
      <c r="F46" s="19"/>
      <c r="G46" s="20"/>
      <c r="H46" s="19"/>
      <c r="I46" s="21"/>
      <c r="J46" s="21"/>
      <c r="K46" s="22" t="str">
        <f t="shared" si="1"/>
        <v/>
      </c>
    </row>
    <row r="47" spans="1:11" ht="18" customHeight="1" x14ac:dyDescent="0.25">
      <c r="A47" s="23">
        <v>38</v>
      </c>
      <c r="B47" s="24"/>
      <c r="C47" s="24"/>
      <c r="D47" s="24"/>
      <c r="E47" s="24"/>
      <c r="F47" s="24"/>
      <c r="G47" s="25"/>
      <c r="H47" s="24"/>
      <c r="I47" s="26"/>
      <c r="J47" s="26"/>
      <c r="K47" s="22" t="str">
        <f t="shared" si="1"/>
        <v/>
      </c>
    </row>
    <row r="48" spans="1:11" ht="18" customHeight="1" x14ac:dyDescent="0.25">
      <c r="A48" s="18">
        <v>39</v>
      </c>
      <c r="B48" s="19"/>
      <c r="C48" s="19"/>
      <c r="D48" s="19"/>
      <c r="E48" s="19"/>
      <c r="F48" s="19"/>
      <c r="G48" s="20"/>
      <c r="H48" s="19"/>
      <c r="I48" s="21"/>
      <c r="J48" s="21"/>
      <c r="K48" s="22" t="str">
        <f t="shared" si="1"/>
        <v/>
      </c>
    </row>
    <row r="49" spans="1:11" ht="18" customHeight="1" x14ac:dyDescent="0.25">
      <c r="A49" s="23">
        <v>40</v>
      </c>
      <c r="B49" s="24"/>
      <c r="C49" s="24"/>
      <c r="D49" s="24"/>
      <c r="E49" s="24"/>
      <c r="F49" s="24"/>
      <c r="G49" s="25"/>
      <c r="H49" s="24"/>
      <c r="I49" s="26"/>
      <c r="J49" s="26"/>
      <c r="K49" s="22" t="str">
        <f t="shared" si="1"/>
        <v/>
      </c>
    </row>
    <row r="50" spans="1:11" ht="18" customHeight="1" x14ac:dyDescent="0.25">
      <c r="A50" s="18">
        <v>41</v>
      </c>
      <c r="B50" s="19"/>
      <c r="C50" s="19"/>
      <c r="D50" s="19"/>
      <c r="E50" s="19"/>
      <c r="F50" s="19"/>
      <c r="G50" s="20"/>
      <c r="H50" s="19"/>
      <c r="I50" s="21"/>
      <c r="J50" s="21"/>
      <c r="K50" s="22" t="str">
        <f t="shared" si="1"/>
        <v/>
      </c>
    </row>
    <row r="51" spans="1:11" ht="18" customHeight="1" x14ac:dyDescent="0.25">
      <c r="A51" s="23">
        <v>42</v>
      </c>
      <c r="B51" s="24"/>
      <c r="C51" s="24"/>
      <c r="D51" s="24"/>
      <c r="E51" s="24"/>
      <c r="F51" s="24"/>
      <c r="G51" s="25"/>
      <c r="H51" s="24"/>
      <c r="I51" s="26"/>
      <c r="J51" s="26"/>
      <c r="K51" s="22" t="str">
        <f t="shared" si="1"/>
        <v/>
      </c>
    </row>
    <row r="52" spans="1:11" ht="18" customHeight="1" x14ac:dyDescent="0.25">
      <c r="A52" s="18">
        <v>43</v>
      </c>
      <c r="B52" s="19"/>
      <c r="C52" s="19"/>
      <c r="D52" s="19"/>
      <c r="E52" s="19"/>
      <c r="F52" s="19"/>
      <c r="G52" s="20"/>
      <c r="H52" s="19"/>
      <c r="I52" s="21"/>
      <c r="J52" s="21"/>
      <c r="K52" s="22" t="str">
        <f t="shared" si="1"/>
        <v/>
      </c>
    </row>
    <row r="53" spans="1:11" ht="18" customHeight="1" x14ac:dyDescent="0.25">
      <c r="A53" s="23">
        <v>44</v>
      </c>
      <c r="B53" s="24"/>
      <c r="C53" s="24"/>
      <c r="D53" s="24"/>
      <c r="E53" s="24"/>
      <c r="F53" s="24"/>
      <c r="G53" s="25"/>
      <c r="H53" s="24"/>
      <c r="I53" s="26"/>
      <c r="J53" s="26"/>
      <c r="K53" s="22" t="str">
        <f t="shared" si="1"/>
        <v/>
      </c>
    </row>
    <row r="54" spans="1:11" ht="18" customHeight="1" x14ac:dyDescent="0.25">
      <c r="A54" s="18">
        <v>45</v>
      </c>
      <c r="B54" s="19"/>
      <c r="C54" s="19"/>
      <c r="D54" s="19"/>
      <c r="E54" s="19"/>
      <c r="F54" s="19"/>
      <c r="G54" s="20"/>
      <c r="H54" s="19"/>
      <c r="I54" s="21"/>
      <c r="J54" s="21"/>
      <c r="K54" s="22" t="str">
        <f t="shared" si="1"/>
        <v/>
      </c>
    </row>
    <row r="55" spans="1:11" ht="18" customHeight="1" x14ac:dyDescent="0.25">
      <c r="A55" s="23">
        <v>46</v>
      </c>
      <c r="B55" s="24"/>
      <c r="C55" s="24"/>
      <c r="D55" s="24"/>
      <c r="E55" s="24"/>
      <c r="F55" s="24"/>
      <c r="G55" s="25"/>
      <c r="H55" s="24"/>
      <c r="I55" s="26"/>
      <c r="J55" s="26"/>
      <c r="K55" s="22" t="str">
        <f t="shared" si="1"/>
        <v/>
      </c>
    </row>
    <row r="56" spans="1:11" ht="18" customHeight="1" x14ac:dyDescent="0.25">
      <c r="A56" s="18">
        <v>47</v>
      </c>
      <c r="B56" s="19"/>
      <c r="C56" s="19"/>
      <c r="D56" s="19"/>
      <c r="E56" s="19"/>
      <c r="F56" s="19"/>
      <c r="G56" s="20"/>
      <c r="H56" s="19"/>
      <c r="I56" s="21"/>
      <c r="J56" s="21"/>
      <c r="K56" s="22" t="str">
        <f t="shared" si="1"/>
        <v/>
      </c>
    </row>
    <row r="57" spans="1:11" ht="18" customHeight="1" x14ac:dyDescent="0.25">
      <c r="A57" s="23">
        <v>48</v>
      </c>
      <c r="B57" s="24"/>
      <c r="C57" s="24"/>
      <c r="D57" s="24"/>
      <c r="E57" s="24"/>
      <c r="F57" s="24"/>
      <c r="G57" s="25"/>
      <c r="H57" s="24"/>
      <c r="I57" s="26"/>
      <c r="J57" s="26"/>
      <c r="K57" s="22" t="str">
        <f t="shared" si="1"/>
        <v/>
      </c>
    </row>
    <row r="58" spans="1:11" ht="18" customHeight="1" x14ac:dyDescent="0.25">
      <c r="A58" s="18">
        <v>49</v>
      </c>
      <c r="B58" s="19"/>
      <c r="C58" s="19"/>
      <c r="D58" s="19"/>
      <c r="E58" s="19"/>
      <c r="F58" s="19"/>
      <c r="G58" s="20"/>
      <c r="H58" s="19"/>
      <c r="I58" s="21"/>
      <c r="J58" s="21"/>
      <c r="K58" s="22" t="str">
        <f t="shared" si="1"/>
        <v/>
      </c>
    </row>
    <row r="59" spans="1:11" ht="18" customHeight="1" x14ac:dyDescent="0.25">
      <c r="A59" s="23">
        <v>50</v>
      </c>
      <c r="B59" s="24"/>
      <c r="C59" s="24"/>
      <c r="D59" s="24"/>
      <c r="E59" s="24"/>
      <c r="F59" s="24"/>
      <c r="G59" s="25"/>
      <c r="H59" s="24"/>
      <c r="I59" s="26"/>
      <c r="J59" s="26"/>
      <c r="K59" s="22" t="str">
        <f t="shared" si="1"/>
        <v/>
      </c>
    </row>
    <row r="61" spans="1:11" ht="7.5" customHeight="1" x14ac:dyDescent="0.25">
      <c r="A61" s="12"/>
      <c r="B61" s="12"/>
      <c r="C61" s="12"/>
      <c r="D61" s="12"/>
      <c r="E61" s="12"/>
      <c r="F61" s="12"/>
      <c r="G61" s="12"/>
      <c r="H61" s="12"/>
      <c r="I61" s="12"/>
      <c r="J61" s="12"/>
      <c r="K61" s="12"/>
    </row>
    <row r="62" spans="1:11" ht="21.75" customHeight="1" x14ac:dyDescent="0.25">
      <c r="A62" s="11" t="s">
        <v>24</v>
      </c>
      <c r="B62" s="11"/>
      <c r="C62" s="11"/>
      <c r="D62" s="11"/>
      <c r="E62" s="11"/>
      <c r="F62" s="11"/>
      <c r="G62" s="11"/>
    </row>
    <row r="63" spans="1:11" ht="21.75" customHeight="1" x14ac:dyDescent="0.25">
      <c r="A63" s="10" t="s">
        <v>25</v>
      </c>
      <c r="B63" s="10"/>
      <c r="C63" s="10"/>
      <c r="D63" s="10"/>
      <c r="E63" s="10"/>
      <c r="F63" s="10"/>
      <c r="G63" s="10"/>
      <c r="H63" s="9">
        <f>SUM(I10:I59)</f>
        <v>476.97</v>
      </c>
      <c r="I63" s="9"/>
      <c r="J63" s="9"/>
      <c r="K63" s="9"/>
    </row>
    <row r="64" spans="1:11" ht="21.75" customHeight="1" x14ac:dyDescent="0.25">
      <c r="A64" s="10" t="s">
        <v>26</v>
      </c>
      <c r="B64" s="10"/>
      <c r="C64" s="10"/>
      <c r="D64" s="10"/>
      <c r="E64" s="10"/>
      <c r="F64" s="10"/>
      <c r="G64" s="10"/>
      <c r="H64" s="9">
        <f>SUM(J10:J59)</f>
        <v>0</v>
      </c>
      <c r="I64" s="9"/>
      <c r="J64" s="9"/>
      <c r="K64" s="9"/>
    </row>
    <row r="65" spans="1:11" ht="21.75" customHeight="1" x14ac:dyDescent="0.25">
      <c r="A65" s="8" t="s">
        <v>27</v>
      </c>
      <c r="B65" s="8"/>
      <c r="C65" s="8"/>
      <c r="D65" s="8"/>
      <c r="E65" s="8"/>
      <c r="F65" s="8"/>
      <c r="G65" s="8"/>
      <c r="H65" s="7">
        <f>IFERROR(LOOKUP(2,1/(K10:K59&lt;&gt;""),K10:K59),"")</f>
        <v>146.03000000000006</v>
      </c>
      <c r="I65" s="7"/>
      <c r="J65" s="7"/>
      <c r="K65" s="7"/>
    </row>
    <row r="66" spans="1:11" ht="21.75" customHeight="1" x14ac:dyDescent="0.25">
      <c r="A66" s="6" t="s">
        <v>28</v>
      </c>
      <c r="B66" s="6"/>
      <c r="C66" s="6"/>
      <c r="D66" s="6"/>
      <c r="E66" s="6"/>
      <c r="F66" s="6"/>
      <c r="G66" s="6"/>
      <c r="H66" s="5">
        <f>COUNTIF(G10:G59,"Yes")</f>
        <v>10</v>
      </c>
      <c r="I66" s="5"/>
      <c r="J66" s="5"/>
      <c r="K66" s="5"/>
    </row>
    <row r="67" spans="1:11" ht="21.75" customHeight="1" x14ac:dyDescent="0.25">
      <c r="A67" s="4" t="s">
        <v>29</v>
      </c>
      <c r="B67" s="4"/>
      <c r="C67" s="4"/>
      <c r="D67" s="4"/>
      <c r="E67" s="4"/>
      <c r="F67" s="4"/>
      <c r="G67" s="4"/>
      <c r="H67" s="3">
        <f>COUNTIF(G10:G59,"No")</f>
        <v>0</v>
      </c>
      <c r="I67" s="3"/>
      <c r="J67" s="3"/>
      <c r="K67" s="3"/>
    </row>
    <row r="68" spans="1:11" ht="21.75" customHeight="1" x14ac:dyDescent="0.25">
      <c r="A68" s="2" t="s">
        <v>30</v>
      </c>
      <c r="B68" s="2"/>
      <c r="C68" s="2"/>
      <c r="D68" s="2"/>
      <c r="E68" s="2"/>
      <c r="F68" s="2"/>
      <c r="G68" s="2"/>
      <c r="H68" s="1" t="str">
        <f>IF(COUNTIF(G10:G59,"No")=0,"RECONCILED — No missing receipts","ACTION REQUIRED — Missing receipts")</f>
        <v>RECONCILED — No missing receipts</v>
      </c>
      <c r="I68" s="1"/>
      <c r="J68" s="1"/>
      <c r="K68" s="1"/>
    </row>
    <row r="70" spans="1:11" ht="19.5" customHeight="1" x14ac:dyDescent="0.25">
      <c r="A70" s="34" t="s">
        <v>31</v>
      </c>
      <c r="B70" s="34"/>
      <c r="C70" s="34"/>
      <c r="D70" s="34"/>
      <c r="E70" s="34"/>
      <c r="F70" s="34"/>
      <c r="G70" s="34"/>
      <c r="H70" s="34"/>
      <c r="I70" s="34"/>
      <c r="J70" s="34"/>
      <c r="K70" s="34"/>
    </row>
    <row r="71" spans="1:11" ht="27.75" customHeight="1" x14ac:dyDescent="0.25">
      <c r="A71" s="35" t="s">
        <v>32</v>
      </c>
      <c r="B71" s="35"/>
      <c r="C71" s="35"/>
      <c r="D71" s="35"/>
      <c r="E71" s="36" t="s">
        <v>33</v>
      </c>
      <c r="F71" s="36"/>
      <c r="G71" s="36"/>
      <c r="H71" s="36"/>
      <c r="I71" s="36"/>
      <c r="J71" s="36"/>
      <c r="K71" s="36"/>
    </row>
    <row r="72" spans="1:11" ht="27.75" customHeight="1" x14ac:dyDescent="0.25">
      <c r="A72" s="35" t="s">
        <v>34</v>
      </c>
      <c r="B72" s="35"/>
      <c r="C72" s="35"/>
      <c r="D72" s="35"/>
      <c r="E72" s="36" t="s">
        <v>33</v>
      </c>
      <c r="F72" s="36"/>
      <c r="G72" s="36"/>
      <c r="H72" s="36"/>
      <c r="I72" s="36"/>
      <c r="J72" s="36"/>
      <c r="K72" s="36"/>
    </row>
    <row r="73" spans="1:11" ht="27.75" customHeight="1" x14ac:dyDescent="0.25">
      <c r="A73" s="35" t="s">
        <v>35</v>
      </c>
      <c r="B73" s="35"/>
      <c r="C73" s="35"/>
      <c r="D73" s="35"/>
      <c r="E73" s="36" t="s">
        <v>33</v>
      </c>
      <c r="F73" s="36"/>
      <c r="G73" s="36"/>
      <c r="H73" s="36"/>
      <c r="I73" s="36"/>
      <c r="J73" s="36"/>
      <c r="K73" s="36"/>
    </row>
    <row r="74" spans="1:11" ht="36" customHeight="1" x14ac:dyDescent="0.25">
      <c r="A74" s="37" t="s">
        <v>36</v>
      </c>
      <c r="B74" s="37"/>
      <c r="C74" s="37"/>
      <c r="D74" s="37"/>
      <c r="E74" s="37"/>
      <c r="F74" s="37"/>
      <c r="G74" s="37"/>
      <c r="H74" s="37"/>
      <c r="I74" s="37"/>
      <c r="J74" s="37"/>
      <c r="K74" s="37"/>
    </row>
  </sheetData>
  <mergeCells count="25">
    <mergeCell ref="A73:D73"/>
    <mergeCell ref="E73:K73"/>
    <mergeCell ref="A74:K74"/>
    <mergeCell ref="A70:K70"/>
    <mergeCell ref="A71:D71"/>
    <mergeCell ref="E71:K71"/>
    <mergeCell ref="A72:D72"/>
    <mergeCell ref="E72:K72"/>
    <mergeCell ref="A66:G66"/>
    <mergeCell ref="H66:K66"/>
    <mergeCell ref="A67:G67"/>
    <mergeCell ref="H67:K67"/>
    <mergeCell ref="A68:G68"/>
    <mergeCell ref="H68:K68"/>
    <mergeCell ref="A63:G63"/>
    <mergeCell ref="H63:K63"/>
    <mergeCell ref="A64:G64"/>
    <mergeCell ref="H64:K64"/>
    <mergeCell ref="A65:G65"/>
    <mergeCell ref="H65:K65"/>
    <mergeCell ref="A2:K2"/>
    <mergeCell ref="A3:K3"/>
    <mergeCell ref="A8:K8"/>
    <mergeCell ref="A61:K61"/>
    <mergeCell ref="A62:G62"/>
  </mergeCells>
  <dataValidations count="2">
    <dataValidation type="list" allowBlank="1" sqref="G10:G59" xr:uid="{00000000-0002-0000-0000-000000000000}">
      <formula1>"Yes,No,N/A"</formula1>
      <formula2>0</formula2>
    </dataValidation>
    <dataValidation type="list" allowBlank="1" sqref="F10:F59" xr:uid="{00000000-0002-0000-0000-000001000000}">
      <formula1>"Personnel,Fringe Benefits,Supplies,Contractual,Other Direct Costs,Petty Cash - General"</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BF9000"/>
  </sheetPr>
  <dimension ref="A1:I57"/>
  <sheetViews>
    <sheetView showGridLines="0" zoomScaleNormal="100" workbookViewId="0">
      <selection activeCell="N12" sqref="N12"/>
    </sheetView>
  </sheetViews>
  <sheetFormatPr defaultColWidth="8.7109375" defaultRowHeight="15" x14ac:dyDescent="0.25"/>
  <cols>
    <col min="1" max="1" width="3" customWidth="1"/>
    <col min="2" max="2" width="18" customWidth="1"/>
    <col min="3" max="3" width="25" customWidth="1"/>
    <col min="4" max="4" width="20" customWidth="1"/>
    <col min="5" max="8" width="16" customWidth="1"/>
    <col min="9" max="9" width="14.28515625" customWidth="1"/>
  </cols>
  <sheetData>
    <row r="1" spans="1:9" ht="9.75" customHeight="1" x14ac:dyDescent="0.25"/>
    <row r="2" spans="1:9" ht="39.75" customHeight="1" x14ac:dyDescent="0.25">
      <c r="A2" s="38" t="s">
        <v>37</v>
      </c>
      <c r="B2" s="38"/>
      <c r="C2" s="38"/>
      <c r="D2" s="38"/>
      <c r="E2" s="38"/>
      <c r="F2" s="38"/>
      <c r="G2" s="38"/>
      <c r="H2" s="38"/>
      <c r="I2" s="38"/>
    </row>
    <row r="3" spans="1:9" ht="18" customHeight="1" x14ac:dyDescent="0.25">
      <c r="A3" s="13" t="s">
        <v>1</v>
      </c>
      <c r="B3" s="13"/>
      <c r="C3" s="13"/>
      <c r="D3" s="13"/>
      <c r="E3" s="13"/>
      <c r="F3" s="13"/>
      <c r="G3" s="13"/>
      <c r="H3" s="13"/>
      <c r="I3" s="13"/>
    </row>
    <row r="4" spans="1:9" ht="9.75" customHeight="1" x14ac:dyDescent="0.25">
      <c r="A4" s="12"/>
      <c r="B4" s="12"/>
      <c r="C4" s="12"/>
      <c r="D4" s="12"/>
      <c r="E4" s="12"/>
      <c r="F4" s="12"/>
      <c r="G4" s="12"/>
      <c r="H4" s="12"/>
      <c r="I4" s="12"/>
    </row>
    <row r="5" spans="1:9" ht="19.5" customHeight="1" x14ac:dyDescent="0.25">
      <c r="B5" s="35" t="s">
        <v>38</v>
      </c>
      <c r="C5" s="35"/>
      <c r="D5" s="39" t="str">
        <f ca="1">TEXT(TODAY(),"MM/DD/YYYY")</f>
        <v>03/23/2026</v>
      </c>
      <c r="E5" s="39"/>
      <c r="F5" s="35" t="s">
        <v>39</v>
      </c>
      <c r="G5" s="35"/>
      <c r="H5" s="39"/>
      <c r="I5" s="39"/>
    </row>
    <row r="6" spans="1:9" ht="19.5" customHeight="1" x14ac:dyDescent="0.25">
      <c r="B6" s="35" t="s">
        <v>2</v>
      </c>
      <c r="C6" s="35"/>
      <c r="D6" s="39"/>
      <c r="E6" s="39"/>
      <c r="F6" s="35" t="s">
        <v>4</v>
      </c>
      <c r="G6" s="35"/>
      <c r="H6" s="39"/>
      <c r="I6" s="39"/>
    </row>
    <row r="7" spans="1:9" ht="19.5" customHeight="1" x14ac:dyDescent="0.25">
      <c r="B7" s="35" t="s">
        <v>40</v>
      </c>
      <c r="C7" s="35"/>
      <c r="D7" s="39"/>
      <c r="E7" s="39"/>
      <c r="F7" s="35" t="s">
        <v>41</v>
      </c>
      <c r="G7" s="35"/>
      <c r="H7" s="39"/>
      <c r="I7" s="39"/>
    </row>
    <row r="8" spans="1:9" ht="19.5" customHeight="1" x14ac:dyDescent="0.25">
      <c r="B8" s="35" t="s">
        <v>5</v>
      </c>
      <c r="C8" s="35"/>
      <c r="D8" s="39" t="s">
        <v>6</v>
      </c>
      <c r="E8" s="39"/>
      <c r="F8" s="35" t="s">
        <v>42</v>
      </c>
      <c r="G8" s="35"/>
      <c r="H8" s="39"/>
      <c r="I8" s="39"/>
    </row>
    <row r="9" spans="1:9" ht="19.5" customHeight="1" x14ac:dyDescent="0.25">
      <c r="B9" s="35" t="s">
        <v>43</v>
      </c>
      <c r="C9" s="35"/>
      <c r="D9" s="39"/>
      <c r="E9" s="39"/>
      <c r="F9" s="35" t="s">
        <v>44</v>
      </c>
      <c r="G9" s="35"/>
      <c r="H9" s="39"/>
      <c r="I9" s="39"/>
    </row>
    <row r="10" spans="1:9" ht="7.5" customHeight="1" x14ac:dyDescent="0.25">
      <c r="A10" s="12"/>
      <c r="B10" s="12"/>
      <c r="C10" s="12"/>
      <c r="D10" s="12"/>
      <c r="E10" s="12"/>
      <c r="F10" s="12"/>
      <c r="G10" s="12"/>
      <c r="H10" s="12"/>
      <c r="I10" s="12"/>
    </row>
    <row r="11" spans="1:9" ht="30" customHeight="1" x14ac:dyDescent="0.25">
      <c r="B11" s="27" t="s">
        <v>13</v>
      </c>
      <c r="C11" s="27" t="s">
        <v>14</v>
      </c>
      <c r="D11" s="27" t="s">
        <v>16</v>
      </c>
      <c r="E11" s="27" t="s">
        <v>17</v>
      </c>
      <c r="F11" s="27" t="s">
        <v>18</v>
      </c>
      <c r="G11" s="27" t="s">
        <v>19</v>
      </c>
      <c r="H11" s="27" t="s">
        <v>15</v>
      </c>
      <c r="I11" s="27" t="s">
        <v>45</v>
      </c>
    </row>
    <row r="12" spans="1:9" ht="18" customHeight="1" x14ac:dyDescent="0.25">
      <c r="B12" s="18">
        <v>1</v>
      </c>
      <c r="C12" s="19"/>
      <c r="D12" s="19"/>
      <c r="E12" s="19"/>
      <c r="F12" s="19"/>
      <c r="G12" s="20"/>
      <c r="H12" s="19"/>
      <c r="I12" s="22"/>
    </row>
    <row r="13" spans="1:9" ht="18" customHeight="1" x14ac:dyDescent="0.25">
      <c r="B13" s="23">
        <v>2</v>
      </c>
      <c r="C13" s="24"/>
      <c r="D13" s="24"/>
      <c r="E13" s="24"/>
      <c r="F13" s="24"/>
      <c r="G13" s="25"/>
      <c r="H13" s="24"/>
      <c r="I13" s="22"/>
    </row>
    <row r="14" spans="1:9" ht="18" customHeight="1" x14ac:dyDescent="0.25">
      <c r="B14" s="18">
        <v>3</v>
      </c>
      <c r="C14" s="19"/>
      <c r="D14" s="19"/>
      <c r="E14" s="19"/>
      <c r="F14" s="19"/>
      <c r="G14" s="20"/>
      <c r="H14" s="19"/>
      <c r="I14" s="22"/>
    </row>
    <row r="15" spans="1:9" ht="18" customHeight="1" x14ac:dyDescent="0.25">
      <c r="B15" s="23">
        <v>4</v>
      </c>
      <c r="C15" s="24"/>
      <c r="D15" s="24"/>
      <c r="E15" s="24"/>
      <c r="F15" s="24"/>
      <c r="G15" s="25"/>
      <c r="H15" s="24"/>
      <c r="I15" s="22"/>
    </row>
    <row r="16" spans="1:9" ht="18" customHeight="1" x14ac:dyDescent="0.25">
      <c r="B16" s="18">
        <v>5</v>
      </c>
      <c r="C16" s="19"/>
      <c r="D16" s="19"/>
      <c r="E16" s="19"/>
      <c r="F16" s="19"/>
      <c r="G16" s="20"/>
      <c r="H16" s="19"/>
      <c r="I16" s="22"/>
    </row>
    <row r="17" spans="2:9" ht="18" customHeight="1" x14ac:dyDescent="0.25">
      <c r="B17" s="23">
        <v>6</v>
      </c>
      <c r="C17" s="24"/>
      <c r="D17" s="24"/>
      <c r="E17" s="24"/>
      <c r="F17" s="24"/>
      <c r="G17" s="25"/>
      <c r="H17" s="24"/>
      <c r="I17" s="22"/>
    </row>
    <row r="18" spans="2:9" ht="18" customHeight="1" x14ac:dyDescent="0.25">
      <c r="B18" s="18">
        <v>7</v>
      </c>
      <c r="C18" s="19"/>
      <c r="D18" s="19"/>
      <c r="E18" s="19"/>
      <c r="F18" s="19"/>
      <c r="G18" s="20"/>
      <c r="H18" s="19"/>
      <c r="I18" s="22"/>
    </row>
    <row r="19" spans="2:9" ht="18" customHeight="1" x14ac:dyDescent="0.25">
      <c r="B19" s="23">
        <v>8</v>
      </c>
      <c r="C19" s="24"/>
      <c r="D19" s="24"/>
      <c r="E19" s="24"/>
      <c r="F19" s="24"/>
      <c r="G19" s="25"/>
      <c r="H19" s="24"/>
      <c r="I19" s="22"/>
    </row>
    <row r="20" spans="2:9" ht="18" customHeight="1" x14ac:dyDescent="0.25">
      <c r="B20" s="18">
        <v>9</v>
      </c>
      <c r="C20" s="19"/>
      <c r="D20" s="19"/>
      <c r="E20" s="19"/>
      <c r="F20" s="19"/>
      <c r="G20" s="20"/>
      <c r="H20" s="19"/>
      <c r="I20" s="22"/>
    </row>
    <row r="21" spans="2:9" ht="18" customHeight="1" x14ac:dyDescent="0.25">
      <c r="B21" s="23">
        <v>10</v>
      </c>
      <c r="C21" s="24"/>
      <c r="D21" s="24"/>
      <c r="E21" s="24"/>
      <c r="F21" s="24"/>
      <c r="G21" s="25"/>
      <c r="H21" s="24"/>
      <c r="I21" s="22"/>
    </row>
    <row r="22" spans="2:9" ht="18" customHeight="1" x14ac:dyDescent="0.25">
      <c r="B22" s="18">
        <v>11</v>
      </c>
      <c r="C22" s="19"/>
      <c r="D22" s="19"/>
      <c r="E22" s="19"/>
      <c r="F22" s="19"/>
      <c r="G22" s="20"/>
      <c r="H22" s="19"/>
      <c r="I22" s="22"/>
    </row>
    <row r="23" spans="2:9" ht="18" customHeight="1" x14ac:dyDescent="0.25">
      <c r="B23" s="23">
        <v>12</v>
      </c>
      <c r="C23" s="24"/>
      <c r="D23" s="24"/>
      <c r="E23" s="24"/>
      <c r="F23" s="24"/>
      <c r="G23" s="25"/>
      <c r="H23" s="24"/>
      <c r="I23" s="22"/>
    </row>
    <row r="24" spans="2:9" ht="18" customHeight="1" x14ac:dyDescent="0.25">
      <c r="B24" s="18">
        <v>13</v>
      </c>
      <c r="C24" s="19"/>
      <c r="D24" s="19"/>
      <c r="E24" s="19"/>
      <c r="F24" s="19"/>
      <c r="G24" s="20"/>
      <c r="H24" s="19"/>
      <c r="I24" s="22"/>
    </row>
    <row r="25" spans="2:9" ht="18" customHeight="1" x14ac:dyDescent="0.25">
      <c r="B25" s="23">
        <v>14</v>
      </c>
      <c r="C25" s="24"/>
      <c r="D25" s="24"/>
      <c r="E25" s="24"/>
      <c r="F25" s="24"/>
      <c r="G25" s="25"/>
      <c r="H25" s="24"/>
      <c r="I25" s="22"/>
    </row>
    <row r="26" spans="2:9" ht="18" customHeight="1" x14ac:dyDescent="0.25">
      <c r="B26" s="18">
        <v>15</v>
      </c>
      <c r="C26" s="19"/>
      <c r="D26" s="19"/>
      <c r="E26" s="19"/>
      <c r="F26" s="19"/>
      <c r="G26" s="20"/>
      <c r="H26" s="19"/>
      <c r="I26" s="22"/>
    </row>
    <row r="27" spans="2:9" ht="18" customHeight="1" x14ac:dyDescent="0.25">
      <c r="B27" s="23">
        <v>16</v>
      </c>
      <c r="C27" s="24"/>
      <c r="D27" s="24"/>
      <c r="E27" s="24"/>
      <c r="F27" s="24"/>
      <c r="G27" s="25"/>
      <c r="H27" s="24"/>
      <c r="I27" s="22"/>
    </row>
    <row r="28" spans="2:9" ht="18" customHeight="1" x14ac:dyDescent="0.25">
      <c r="B28" s="18">
        <v>17</v>
      </c>
      <c r="C28" s="19"/>
      <c r="D28" s="19"/>
      <c r="E28" s="19"/>
      <c r="F28" s="19"/>
      <c r="G28" s="20"/>
      <c r="H28" s="19"/>
      <c r="I28" s="22"/>
    </row>
    <row r="29" spans="2:9" ht="18" customHeight="1" x14ac:dyDescent="0.25">
      <c r="B29" s="23">
        <v>18</v>
      </c>
      <c r="C29" s="24"/>
      <c r="D29" s="24"/>
      <c r="E29" s="24"/>
      <c r="F29" s="24"/>
      <c r="G29" s="25"/>
      <c r="H29" s="24"/>
      <c r="I29" s="22"/>
    </row>
    <row r="30" spans="2:9" ht="18" customHeight="1" x14ac:dyDescent="0.25">
      <c r="B30" s="18">
        <v>19</v>
      </c>
      <c r="C30" s="19"/>
      <c r="D30" s="19"/>
      <c r="E30" s="19"/>
      <c r="F30" s="19"/>
      <c r="G30" s="20"/>
      <c r="H30" s="19"/>
      <c r="I30" s="22"/>
    </row>
    <row r="31" spans="2:9" ht="18" customHeight="1" x14ac:dyDescent="0.25">
      <c r="B31" s="23">
        <v>20</v>
      </c>
      <c r="C31" s="24"/>
      <c r="D31" s="24"/>
      <c r="E31" s="24"/>
      <c r="F31" s="24"/>
      <c r="G31" s="25"/>
      <c r="H31" s="24"/>
      <c r="I31" s="22"/>
    </row>
    <row r="32" spans="2:9" ht="21.75" customHeight="1" x14ac:dyDescent="0.25">
      <c r="B32" s="40" t="s">
        <v>46</v>
      </c>
      <c r="C32" s="40"/>
      <c r="D32" s="40"/>
      <c r="E32" s="40"/>
      <c r="F32" s="40"/>
      <c r="G32" s="40"/>
      <c r="H32" s="40"/>
      <c r="I32" s="28">
        <f>SUM(I12:I31)</f>
        <v>0</v>
      </c>
    </row>
    <row r="33" spans="1:9" ht="7.5" customHeight="1" x14ac:dyDescent="0.25">
      <c r="A33" s="12"/>
      <c r="B33" s="12"/>
      <c r="C33" s="12"/>
      <c r="D33" s="12"/>
      <c r="E33" s="12"/>
      <c r="F33" s="12"/>
      <c r="G33" s="12"/>
      <c r="H33" s="12"/>
      <c r="I33" s="12"/>
    </row>
    <row r="34" spans="1:9" ht="19.5" customHeight="1" x14ac:dyDescent="0.25">
      <c r="B34" s="35" t="s">
        <v>47</v>
      </c>
      <c r="C34" s="35"/>
      <c r="D34" s="35"/>
      <c r="E34" s="35"/>
      <c r="F34" s="35"/>
      <c r="G34" s="35"/>
      <c r="H34" s="35"/>
      <c r="I34" s="29">
        <f>H7</f>
        <v>0</v>
      </c>
    </row>
    <row r="35" spans="1:9" ht="19.5" customHeight="1" x14ac:dyDescent="0.25">
      <c r="B35" s="35" t="s">
        <v>48</v>
      </c>
      <c r="C35" s="35"/>
      <c r="D35" s="35"/>
      <c r="E35" s="35"/>
      <c r="F35" s="35"/>
      <c r="G35" s="35"/>
      <c r="H35" s="35"/>
      <c r="I35" s="30">
        <f>I32</f>
        <v>0</v>
      </c>
    </row>
    <row r="36" spans="1:9" ht="19.5" customHeight="1" x14ac:dyDescent="0.25">
      <c r="B36" s="35" t="s">
        <v>49</v>
      </c>
      <c r="C36" s="35"/>
      <c r="D36" s="35"/>
      <c r="E36" s="35"/>
      <c r="F36" s="35"/>
      <c r="G36" s="35"/>
      <c r="H36" s="35"/>
      <c r="I36" s="31">
        <f>I34-I35</f>
        <v>0</v>
      </c>
    </row>
    <row r="37" spans="1:9" ht="19.5" customHeight="1" x14ac:dyDescent="0.25">
      <c r="B37" s="35" t="s">
        <v>50</v>
      </c>
      <c r="C37" s="35"/>
      <c r="D37" s="35"/>
      <c r="E37" s="35"/>
      <c r="F37" s="35"/>
      <c r="G37" s="35"/>
      <c r="H37" s="35"/>
      <c r="I37" s="32">
        <f>I32</f>
        <v>0</v>
      </c>
    </row>
    <row r="38" spans="1:9" ht="19.5" customHeight="1" x14ac:dyDescent="0.25">
      <c r="B38" s="35" t="s">
        <v>51</v>
      </c>
      <c r="C38" s="35"/>
      <c r="D38" s="35"/>
      <c r="E38" s="35"/>
      <c r="F38" s="35"/>
      <c r="G38" s="35"/>
      <c r="H38" s="35"/>
      <c r="I38" s="29">
        <f>I36+I37</f>
        <v>0</v>
      </c>
    </row>
    <row r="39" spans="1:9" ht="7.5" customHeight="1" x14ac:dyDescent="0.25">
      <c r="A39" s="12"/>
      <c r="B39" s="12"/>
      <c r="C39" s="12"/>
      <c r="D39" s="12"/>
      <c r="E39" s="12"/>
      <c r="F39" s="12"/>
      <c r="G39" s="12"/>
      <c r="H39" s="12"/>
      <c r="I39" s="12"/>
    </row>
    <row r="40" spans="1:9" ht="21.75" customHeight="1" x14ac:dyDescent="0.25">
      <c r="A40" s="34" t="s">
        <v>52</v>
      </c>
      <c r="B40" s="34"/>
      <c r="C40" s="34"/>
      <c r="D40" s="34"/>
      <c r="E40" s="34"/>
      <c r="F40" s="34"/>
      <c r="G40" s="34"/>
      <c r="H40" s="34"/>
      <c r="I40" s="34"/>
    </row>
    <row r="41" spans="1:9" ht="18" customHeight="1" x14ac:dyDescent="0.25">
      <c r="B41" s="41" t="s">
        <v>53</v>
      </c>
      <c r="C41" s="41"/>
      <c r="D41" s="41"/>
      <c r="E41" s="41"/>
      <c r="F41" s="41"/>
      <c r="G41" s="41"/>
      <c r="H41" s="41"/>
      <c r="I41" s="41"/>
    </row>
    <row r="42" spans="1:9" ht="18" customHeight="1" x14ac:dyDescent="0.25">
      <c r="B42" s="42" t="s">
        <v>54</v>
      </c>
      <c r="C42" s="42"/>
      <c r="D42" s="42"/>
      <c r="E42" s="42"/>
      <c r="F42" s="42"/>
      <c r="G42" s="42"/>
      <c r="H42" s="42"/>
      <c r="I42" s="42"/>
    </row>
    <row r="43" spans="1:9" ht="18" customHeight="1" x14ac:dyDescent="0.25">
      <c r="B43" s="41" t="s">
        <v>55</v>
      </c>
      <c r="C43" s="41"/>
      <c r="D43" s="41"/>
      <c r="E43" s="41"/>
      <c r="F43" s="41"/>
      <c r="G43" s="41"/>
      <c r="H43" s="41"/>
      <c r="I43" s="41"/>
    </row>
    <row r="44" spans="1:9" ht="18" customHeight="1" x14ac:dyDescent="0.25">
      <c r="B44" s="42" t="s">
        <v>56</v>
      </c>
      <c r="C44" s="42"/>
      <c r="D44" s="42"/>
      <c r="E44" s="42"/>
      <c r="F44" s="42"/>
      <c r="G44" s="42"/>
      <c r="H44" s="42"/>
      <c r="I44" s="42"/>
    </row>
    <row r="45" spans="1:9" ht="18" customHeight="1" x14ac:dyDescent="0.25">
      <c r="B45" s="41" t="s">
        <v>57</v>
      </c>
      <c r="C45" s="41"/>
      <c r="D45" s="41"/>
      <c r="E45" s="41"/>
      <c r="F45" s="41"/>
      <c r="G45" s="41"/>
      <c r="H45" s="41"/>
      <c r="I45" s="41"/>
    </row>
    <row r="46" spans="1:9" ht="18" customHeight="1" x14ac:dyDescent="0.25">
      <c r="B46" s="42" t="s">
        <v>58</v>
      </c>
      <c r="C46" s="42"/>
      <c r="D46" s="42"/>
      <c r="E46" s="42"/>
      <c r="F46" s="42"/>
      <c r="G46" s="42"/>
      <c r="H46" s="42"/>
      <c r="I46" s="42"/>
    </row>
    <row r="47" spans="1:9" ht="18" customHeight="1" x14ac:dyDescent="0.25">
      <c r="B47" s="41" t="s">
        <v>59</v>
      </c>
      <c r="C47" s="41"/>
      <c r="D47" s="41"/>
      <c r="E47" s="41"/>
      <c r="F47" s="41"/>
      <c r="G47" s="41"/>
      <c r="H47" s="41"/>
      <c r="I47" s="41"/>
    </row>
    <row r="49" spans="1:9" ht="21.75" customHeight="1" x14ac:dyDescent="0.25">
      <c r="A49" s="34" t="s">
        <v>60</v>
      </c>
      <c r="B49" s="34"/>
      <c r="C49" s="34"/>
      <c r="D49" s="34"/>
      <c r="E49" s="34"/>
      <c r="F49" s="34"/>
      <c r="G49" s="34"/>
      <c r="H49" s="34"/>
      <c r="I49" s="34"/>
    </row>
    <row r="50" spans="1:9" ht="36" customHeight="1" x14ac:dyDescent="0.25">
      <c r="B50" s="43" t="s">
        <v>61</v>
      </c>
      <c r="C50" s="43"/>
      <c r="D50" s="43"/>
      <c r="E50" s="44" t="s">
        <v>62</v>
      </c>
      <c r="F50" s="44"/>
      <c r="G50" s="44"/>
      <c r="H50" s="44"/>
      <c r="I50" s="44"/>
    </row>
    <row r="51" spans="1:9" ht="9.75" customHeight="1" x14ac:dyDescent="0.25">
      <c r="B51" s="45" t="s">
        <v>63</v>
      </c>
      <c r="C51" s="45"/>
      <c r="D51" s="45"/>
    </row>
    <row r="52" spans="1:9" ht="36" customHeight="1" x14ac:dyDescent="0.25">
      <c r="B52" s="43" t="s">
        <v>64</v>
      </c>
      <c r="C52" s="43"/>
      <c r="D52" s="43"/>
      <c r="E52" s="44" t="s">
        <v>65</v>
      </c>
      <c r="F52" s="44"/>
      <c r="G52" s="44"/>
      <c r="H52" s="44"/>
      <c r="I52" s="44"/>
    </row>
    <row r="53" spans="1:9" ht="9.75" customHeight="1" x14ac:dyDescent="0.25">
      <c r="B53" s="45" t="s">
        <v>63</v>
      </c>
      <c r="C53" s="45"/>
      <c r="D53" s="45"/>
    </row>
    <row r="54" spans="1:9" ht="36" customHeight="1" x14ac:dyDescent="0.25">
      <c r="B54" s="43" t="s">
        <v>66</v>
      </c>
      <c r="C54" s="43"/>
      <c r="D54" s="43"/>
      <c r="E54" s="44" t="s">
        <v>67</v>
      </c>
      <c r="F54" s="44"/>
      <c r="G54" s="44"/>
      <c r="H54" s="44"/>
      <c r="I54" s="44"/>
    </row>
    <row r="55" spans="1:9" ht="9.75" customHeight="1" x14ac:dyDescent="0.25">
      <c r="B55" s="45" t="s">
        <v>63</v>
      </c>
      <c r="C55" s="45"/>
      <c r="D55" s="45"/>
    </row>
    <row r="57" spans="1:9" ht="36" customHeight="1" x14ac:dyDescent="0.25">
      <c r="A57" s="37" t="s">
        <v>68</v>
      </c>
      <c r="B57" s="37"/>
      <c r="C57" s="37"/>
      <c r="D57" s="37"/>
      <c r="E57" s="37"/>
      <c r="F57" s="37"/>
      <c r="G57" s="37"/>
      <c r="H57" s="37"/>
      <c r="I57" s="37"/>
    </row>
  </sheetData>
  <mergeCells count="51">
    <mergeCell ref="B55:D55"/>
    <mergeCell ref="A57:I57"/>
    <mergeCell ref="B51:D51"/>
    <mergeCell ref="B52:D52"/>
    <mergeCell ref="E52:I52"/>
    <mergeCell ref="B53:D53"/>
    <mergeCell ref="B54:D54"/>
    <mergeCell ref="E54:I54"/>
    <mergeCell ref="B46:I46"/>
    <mergeCell ref="B47:I47"/>
    <mergeCell ref="A49:I49"/>
    <mergeCell ref="B50:D50"/>
    <mergeCell ref="E50:I50"/>
    <mergeCell ref="B41:I41"/>
    <mergeCell ref="B42:I42"/>
    <mergeCell ref="B43:I43"/>
    <mergeCell ref="B44:I44"/>
    <mergeCell ref="B45:I45"/>
    <mergeCell ref="B36:H36"/>
    <mergeCell ref="B37:H37"/>
    <mergeCell ref="B38:H38"/>
    <mergeCell ref="A39:I39"/>
    <mergeCell ref="A40:I40"/>
    <mergeCell ref="A10:I10"/>
    <mergeCell ref="B32:H32"/>
    <mergeCell ref="A33:I33"/>
    <mergeCell ref="B34:H34"/>
    <mergeCell ref="B35:H35"/>
    <mergeCell ref="B8:C8"/>
    <mergeCell ref="D8:E8"/>
    <mergeCell ref="F8:G8"/>
    <mergeCell ref="H8:I8"/>
    <mergeCell ref="B9:C9"/>
    <mergeCell ref="D9:E9"/>
    <mergeCell ref="F9:G9"/>
    <mergeCell ref="H9:I9"/>
    <mergeCell ref="B6:C6"/>
    <mergeCell ref="D6:E6"/>
    <mergeCell ref="F6:G6"/>
    <mergeCell ref="H6:I6"/>
    <mergeCell ref="B7:C7"/>
    <mergeCell ref="D7:E7"/>
    <mergeCell ref="F7:G7"/>
    <mergeCell ref="H7:I7"/>
    <mergeCell ref="A2:I2"/>
    <mergeCell ref="A3:I3"/>
    <mergeCell ref="A4:I4"/>
    <mergeCell ref="B5:C5"/>
    <mergeCell ref="D5:E5"/>
    <mergeCell ref="F5:G5"/>
    <mergeCell ref="H5:I5"/>
  </mergeCells>
  <dataValidations count="2">
    <dataValidation type="list" allowBlank="1" sqref="G12:G31" xr:uid="{00000000-0002-0000-0100-000000000000}">
      <formula1>"Yes,No"</formula1>
      <formula2>0</formula2>
    </dataValidation>
    <dataValidation type="list" allowBlank="1" sqref="F12:F31" xr:uid="{00000000-0002-0000-0100-000001000000}">
      <formula1>"Personnel,Fringe Benefits,Supplies,Contractual,Other Direct Costs,Petty Cash - General"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375623"/>
  </sheetPr>
  <dimension ref="A1:C32"/>
  <sheetViews>
    <sheetView showGridLines="0" zoomScaleNormal="100" workbookViewId="0"/>
  </sheetViews>
  <sheetFormatPr defaultColWidth="8.7109375" defaultRowHeight="15" x14ac:dyDescent="0.25"/>
  <cols>
    <col min="1" max="1" width="4" customWidth="1"/>
    <col min="2" max="2" width="30" customWidth="1"/>
    <col min="3" max="3" width="70" customWidth="1"/>
  </cols>
  <sheetData>
    <row r="1" spans="1:3" ht="9.75" customHeight="1" x14ac:dyDescent="0.25"/>
    <row r="2" spans="1:3" ht="36" customHeight="1" x14ac:dyDescent="0.25">
      <c r="A2" s="38" t="s">
        <v>69</v>
      </c>
      <c r="B2" s="38"/>
      <c r="C2" s="38"/>
    </row>
    <row r="3" spans="1:3" ht="15" customHeight="1" x14ac:dyDescent="0.25">
      <c r="A3" s="13" t="s">
        <v>70</v>
      </c>
      <c r="B3" s="13"/>
      <c r="C3" s="13"/>
    </row>
    <row r="5" spans="1:3" ht="7.5" customHeight="1" x14ac:dyDescent="0.25">
      <c r="A5" s="12"/>
      <c r="B5" s="12"/>
      <c r="C5" s="12"/>
    </row>
    <row r="6" spans="1:3" ht="24" customHeight="1" x14ac:dyDescent="0.25">
      <c r="A6" s="46" t="s">
        <v>71</v>
      </c>
      <c r="B6" s="46"/>
      <c r="C6" s="46"/>
    </row>
    <row r="7" spans="1:3" ht="63" customHeight="1" x14ac:dyDescent="0.25">
      <c r="B7" s="33" t="s">
        <v>72</v>
      </c>
      <c r="C7" s="24" t="s">
        <v>73</v>
      </c>
    </row>
    <row r="8" spans="1:3" ht="111" customHeight="1" x14ac:dyDescent="0.25">
      <c r="B8" s="33" t="s">
        <v>74</v>
      </c>
      <c r="C8" s="24" t="s">
        <v>75</v>
      </c>
    </row>
    <row r="9" spans="1:3" ht="51.75" customHeight="1" x14ac:dyDescent="0.25">
      <c r="B9" s="33" t="s">
        <v>76</v>
      </c>
      <c r="C9" s="24" t="s">
        <v>77</v>
      </c>
    </row>
    <row r="10" spans="1:3" ht="54" customHeight="1" x14ac:dyDescent="0.25">
      <c r="B10" s="33" t="s">
        <v>15</v>
      </c>
      <c r="C10" s="24" t="s">
        <v>78</v>
      </c>
    </row>
    <row r="11" spans="1:3" ht="72" customHeight="1" x14ac:dyDescent="0.25">
      <c r="B11" s="33" t="s">
        <v>18</v>
      </c>
      <c r="C11" s="24" t="s">
        <v>79</v>
      </c>
    </row>
    <row r="12" spans="1:3" ht="45" customHeight="1" x14ac:dyDescent="0.25">
      <c r="B12" s="33" t="s">
        <v>80</v>
      </c>
      <c r="C12" s="24" t="s">
        <v>81</v>
      </c>
    </row>
    <row r="13" spans="1:3" ht="102.75" customHeight="1" x14ac:dyDescent="0.25">
      <c r="B13" s="33" t="s">
        <v>82</v>
      </c>
      <c r="C13" s="24" t="s">
        <v>83</v>
      </c>
    </row>
    <row r="14" spans="1:3" ht="52.5" customHeight="1" x14ac:dyDescent="0.25">
      <c r="B14" s="33" t="s">
        <v>84</v>
      </c>
      <c r="C14" s="24" t="s">
        <v>85</v>
      </c>
    </row>
    <row r="15" spans="1:3" ht="7.5" customHeight="1" x14ac:dyDescent="0.25">
      <c r="A15" s="12"/>
      <c r="B15" s="12"/>
      <c r="C15" s="12"/>
    </row>
    <row r="16" spans="1:3" ht="24" customHeight="1" x14ac:dyDescent="0.25">
      <c r="A16" s="46" t="s">
        <v>86</v>
      </c>
      <c r="B16" s="46"/>
      <c r="C16" s="46"/>
    </row>
    <row r="17" spans="1:3" ht="61.5" customHeight="1" x14ac:dyDescent="0.25">
      <c r="B17" s="33" t="s">
        <v>87</v>
      </c>
      <c r="C17" s="24" t="s">
        <v>88</v>
      </c>
    </row>
    <row r="18" spans="1:3" ht="61.5" customHeight="1" x14ac:dyDescent="0.25">
      <c r="B18" s="33" t="s">
        <v>89</v>
      </c>
      <c r="C18" s="24" t="s">
        <v>90</v>
      </c>
    </row>
    <row r="19" spans="1:3" ht="63.75" customHeight="1" x14ac:dyDescent="0.25">
      <c r="B19" s="33" t="s">
        <v>91</v>
      </c>
      <c r="C19" s="24" t="s">
        <v>92</v>
      </c>
    </row>
    <row r="20" spans="1:3" ht="42" customHeight="1" x14ac:dyDescent="0.25">
      <c r="B20" s="33" t="s">
        <v>93</v>
      </c>
      <c r="C20" s="24" t="s">
        <v>94</v>
      </c>
    </row>
    <row r="21" spans="1:3" ht="51.75" customHeight="1" x14ac:dyDescent="0.25">
      <c r="B21" s="33" t="s">
        <v>95</v>
      </c>
      <c r="C21" s="24" t="s">
        <v>96</v>
      </c>
    </row>
    <row r="22" spans="1:3" ht="60" customHeight="1" x14ac:dyDescent="0.25">
      <c r="B22" s="33" t="s">
        <v>97</v>
      </c>
      <c r="C22" s="24" t="s">
        <v>98</v>
      </c>
    </row>
    <row r="23" spans="1:3" ht="55.5" customHeight="1" x14ac:dyDescent="0.25">
      <c r="B23" s="33" t="s">
        <v>99</v>
      </c>
      <c r="C23" s="24" t="s">
        <v>100</v>
      </c>
    </row>
    <row r="24" spans="1:3" ht="7.5" customHeight="1" x14ac:dyDescent="0.25">
      <c r="A24" s="12"/>
      <c r="B24" s="12"/>
      <c r="C24" s="12"/>
    </row>
    <row r="25" spans="1:3" ht="24" customHeight="1" x14ac:dyDescent="0.25">
      <c r="A25" s="46" t="s">
        <v>101</v>
      </c>
      <c r="B25" s="46"/>
      <c r="C25" s="46"/>
    </row>
    <row r="26" spans="1:3" ht="60" customHeight="1" x14ac:dyDescent="0.25">
      <c r="B26" s="33" t="s">
        <v>102</v>
      </c>
      <c r="C26" s="24" t="s">
        <v>103</v>
      </c>
    </row>
    <row r="27" spans="1:3" ht="40.5" customHeight="1" x14ac:dyDescent="0.25">
      <c r="B27" s="33" t="s">
        <v>104</v>
      </c>
      <c r="C27" s="24" t="s">
        <v>105</v>
      </c>
    </row>
    <row r="28" spans="1:3" ht="33" customHeight="1" x14ac:dyDescent="0.25">
      <c r="B28" s="33" t="s">
        <v>106</v>
      </c>
      <c r="C28" s="24" t="s">
        <v>107</v>
      </c>
    </row>
    <row r="29" spans="1:3" ht="61.5" customHeight="1" x14ac:dyDescent="0.25">
      <c r="B29" s="33" t="s">
        <v>108</v>
      </c>
      <c r="C29" s="24" t="s">
        <v>109</v>
      </c>
    </row>
    <row r="30" spans="1:3" ht="58.5" customHeight="1" x14ac:dyDescent="0.25">
      <c r="B30" s="33" t="s">
        <v>110</v>
      </c>
      <c r="C30" s="24" t="s">
        <v>111</v>
      </c>
    </row>
    <row r="31" spans="1:3" ht="51.75" customHeight="1" x14ac:dyDescent="0.25">
      <c r="B31" s="33" t="s">
        <v>112</v>
      </c>
      <c r="C31" s="24" t="s">
        <v>113</v>
      </c>
    </row>
    <row r="32" spans="1:3" ht="69.75" customHeight="1" x14ac:dyDescent="0.25">
      <c r="B32" s="33" t="s">
        <v>114</v>
      </c>
      <c r="C32" s="24" t="s">
        <v>115</v>
      </c>
    </row>
  </sheetData>
  <mergeCells count="8">
    <mergeCell ref="A16:C16"/>
    <mergeCell ref="A24:C24"/>
    <mergeCell ref="A25:C25"/>
    <mergeCell ref="A2:C2"/>
    <mergeCell ref="A3:C3"/>
    <mergeCell ref="A5:C5"/>
    <mergeCell ref="A6:C6"/>
    <mergeCell ref="A15:C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Petty Cash Log</vt:lpstr>
      <vt:lpstr>Replenishment Request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Deirdre Gilbert</cp:lastModifiedBy>
  <cp:revision>0</cp:revision>
  <dcterms:created xsi:type="dcterms:W3CDTF">2026-03-12T20:27:20Z</dcterms:created>
  <dcterms:modified xsi:type="dcterms:W3CDTF">2026-03-23T20:08:33Z</dcterms:modified>
  <dc:language>en-US</dc:language>
</cp:coreProperties>
</file>